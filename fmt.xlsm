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c06e26c6f345ef8/07 書式/"/>
    </mc:Choice>
  </mc:AlternateContent>
  <xr:revisionPtr revIDLastSave="1256" documentId="13_ncr:1_{F002728A-341E-48D0-95AB-EF4E83621EEE}" xr6:coauthVersionLast="46" xr6:coauthVersionMax="46" xr10:uidLastSave="{A8A82E4B-4E3C-4DAA-B3A7-EDDC88BE42F5}"/>
  <bookViews>
    <workbookView xWindow="-120" yWindow="-120" windowWidth="29040" windowHeight="15840" tabRatio="854" activeTab="4" xr2:uid="{00000000-000D-0000-FFFF-FFFF00000000}"/>
  </bookViews>
  <sheets>
    <sheet name="印刷シート" sheetId="10" r:id="rId1"/>
    <sheet name="2枚用" sheetId="1" r:id="rId2"/>
    <sheet name="積算1" sheetId="15" r:id="rId3"/>
    <sheet name="積算2" sheetId="25" r:id="rId4"/>
    <sheet name="CB積算" sheetId="3" r:id="rId5"/>
    <sheet name="発注書1" sheetId="12" r:id="rId6"/>
    <sheet name="発注書2" sheetId="13" r:id="rId7"/>
    <sheet name="仕入れ管理" sheetId="7" r:id="rId8"/>
    <sheet name="仕切り1" sheetId="8" r:id="rId9"/>
    <sheet name="仕切り2" sheetId="9" r:id="rId10"/>
  </sheets>
  <definedNames>
    <definedName name="_xlnm.Print_Area" localSheetId="0">印刷シート!$A$1:$K$45</definedName>
    <definedName name="ベース仕切り">CB積算!$M$21:$N$30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5" l="1"/>
  <c r="H22" i="25" s="1"/>
  <c r="F22" i="25"/>
  <c r="G21" i="25"/>
  <c r="H21" i="25" s="1"/>
  <c r="F21" i="25"/>
  <c r="K20" i="25"/>
  <c r="G20" i="25"/>
  <c r="H20" i="25" s="1"/>
  <c r="F20" i="25"/>
  <c r="G19" i="25"/>
  <c r="G23" i="25" s="1"/>
  <c r="F19" i="25"/>
  <c r="F23" i="25" s="1"/>
  <c r="G15" i="25"/>
  <c r="H15" i="25" s="1"/>
  <c r="F15" i="25"/>
  <c r="G14" i="25"/>
  <c r="H14" i="25" s="1"/>
  <c r="F14" i="25"/>
  <c r="G13" i="25"/>
  <c r="H13" i="25" s="1"/>
  <c r="F13" i="25"/>
  <c r="G12" i="25"/>
  <c r="H12" i="25" s="1"/>
  <c r="F12" i="25"/>
  <c r="G11" i="25"/>
  <c r="H11" i="25" s="1"/>
  <c r="F11" i="25"/>
  <c r="G10" i="25"/>
  <c r="H10" i="25" s="1"/>
  <c r="F10" i="25"/>
  <c r="G9" i="25"/>
  <c r="H9" i="25" s="1"/>
  <c r="F9" i="25"/>
  <c r="G8" i="25"/>
  <c r="H8" i="25" s="1"/>
  <c r="F8" i="25"/>
  <c r="G7" i="25"/>
  <c r="H7" i="25" s="1"/>
  <c r="F7" i="25"/>
  <c r="G6" i="25"/>
  <c r="H6" i="25" s="1"/>
  <c r="F6" i="25"/>
  <c r="F16" i="25" s="1"/>
  <c r="F20" i="15"/>
  <c r="F21" i="15"/>
  <c r="F22" i="15"/>
  <c r="F19" i="15"/>
  <c r="F23" i="15" s="1"/>
  <c r="G6" i="15"/>
  <c r="H6" i="15" s="1"/>
  <c r="F7" i="15"/>
  <c r="F8" i="15"/>
  <c r="F9" i="15"/>
  <c r="F10" i="15"/>
  <c r="F11" i="15"/>
  <c r="F12" i="15"/>
  <c r="F13" i="15"/>
  <c r="F14" i="15"/>
  <c r="F15" i="15"/>
  <c r="F6" i="15"/>
  <c r="K20" i="15"/>
  <c r="C13" i="3"/>
  <c r="H16" i="25" l="1"/>
  <c r="K7" i="25" s="1"/>
  <c r="K11" i="25" s="1"/>
  <c r="H19" i="25"/>
  <c r="H23" i="25" s="1"/>
  <c r="K18" i="25" s="1"/>
  <c r="K22" i="25" s="1"/>
  <c r="G16" i="25"/>
  <c r="F16" i="15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7" i="1" s="1"/>
  <c r="K86" i="1"/>
  <c r="K49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14" i="1"/>
  <c r="J1" i="1"/>
  <c r="K46" i="1" l="1"/>
  <c r="K88" i="1" s="1"/>
  <c r="K89" i="1" s="1"/>
  <c r="K91" i="1" s="1"/>
  <c r="C10" i="1" s="1"/>
  <c r="F16" i="3"/>
  <c r="F15" i="3"/>
  <c r="F14" i="3"/>
  <c r="F13" i="3"/>
  <c r="D12" i="3"/>
  <c r="F12" i="3" s="1"/>
  <c r="F7" i="3"/>
  <c r="F9" i="3" s="1"/>
  <c r="F17" i="3" l="1"/>
  <c r="J16" i="3"/>
  <c r="J17" i="3" s="1"/>
  <c r="H1" i="8" l="1"/>
  <c r="H1" i="9"/>
  <c r="B4" i="13"/>
  <c r="B3" i="13"/>
  <c r="G22" i="15"/>
  <c r="H22" i="15" s="1"/>
  <c r="G21" i="15"/>
  <c r="H21" i="15" s="1"/>
  <c r="G20" i="15"/>
  <c r="H20" i="15" s="1"/>
  <c r="G19" i="15"/>
  <c r="G15" i="15"/>
  <c r="H15" i="15" s="1"/>
  <c r="G14" i="15"/>
  <c r="H14" i="15" s="1"/>
  <c r="G13" i="15"/>
  <c r="H13" i="15" s="1"/>
  <c r="G12" i="15"/>
  <c r="H12" i="15" s="1"/>
  <c r="G11" i="15"/>
  <c r="H11" i="15" s="1"/>
  <c r="G10" i="15"/>
  <c r="H10" i="15" s="1"/>
  <c r="G9" i="15"/>
  <c r="H9" i="15" s="1"/>
  <c r="G8" i="15"/>
  <c r="H8" i="15" s="1"/>
  <c r="G7" i="15"/>
  <c r="H7" i="15" s="1"/>
  <c r="E1" i="13"/>
  <c r="E1" i="12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42" i="10" s="1"/>
  <c r="K16" i="10"/>
  <c r="K15" i="10"/>
  <c r="K14" i="10"/>
  <c r="J1" i="10"/>
  <c r="G23" i="15" l="1"/>
  <c r="H19" i="15"/>
  <c r="H23" i="15"/>
  <c r="K18" i="15" s="1"/>
  <c r="K22" i="15" s="1"/>
  <c r="G16" i="15"/>
  <c r="H16" i="15"/>
  <c r="K7" i="15" s="1"/>
  <c r="K11" i="15" s="1"/>
  <c r="K43" i="10"/>
  <c r="K45" i="10" s="1"/>
  <c r="C10" i="10" s="1"/>
  <c r="F5" i="7" l="1"/>
  <c r="F3" i="7"/>
  <c r="F4" i="7"/>
  <c r="F6" i="7"/>
  <c r="F7" i="7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35" i="9" s="1"/>
  <c r="I7" i="9" s="1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35" i="8" s="1"/>
  <c r="E7" i="8" s="1"/>
  <c r="I3" i="7" l="1"/>
  <c r="E7" i="9"/>
  <c r="I4" i="7" s="1"/>
  <c r="I7" i="8"/>
  <c r="I2" i="7" l="1"/>
  <c r="I5" i="7" s="1"/>
  <c r="I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3" authorId="0" shapeId="0" xr:uid="{74B613BE-4AB7-41DA-B36D-66EBF3C489B4}">
      <text>
        <r>
          <rPr>
            <sz val="11"/>
            <color rgb="FF000000"/>
            <rFont val="MS PGothic"/>
            <family val="3"/>
            <charset val="128"/>
          </rPr>
          <t>商品の仕入れ掛率を入力</t>
        </r>
      </text>
    </comment>
    <comment ref="K9" authorId="0" shapeId="0" xr:uid="{3E18505D-70E7-45B2-B6CA-CDD6A2B226E6}">
      <text>
        <r>
          <rPr>
            <sz val="11"/>
            <color rgb="FF000000"/>
            <rFont val="MS PGothic"/>
            <family val="3"/>
            <charset val="128"/>
          </rPr>
          <t>１単位当たりの金額が必要な場合に入力
例)フェンス,Ｄパーツ等
不要な場合は"1"を入力</t>
        </r>
      </text>
    </comment>
    <comment ref="K20" authorId="0" shapeId="0" xr:uid="{C5E54805-BA01-44DA-B7D1-2A6914059876}">
      <text>
        <r>
          <rPr>
            <sz val="11"/>
            <color rgb="FF000000"/>
            <rFont val="MS PGothic"/>
            <family val="3"/>
            <charset val="128"/>
          </rPr>
          <t>１単位当たりの金額が必要な場合に入力
例)フェンス,Ｄパーツ等
不要な場合は"1"を入力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3" authorId="0" shapeId="0" xr:uid="{7593A606-CE31-4FCC-8371-A251605809B3}">
      <text>
        <r>
          <rPr>
            <sz val="11"/>
            <color rgb="FF000000"/>
            <rFont val="MS PGothic"/>
            <family val="3"/>
            <charset val="128"/>
          </rPr>
          <t>商品の仕入れ掛率を入力</t>
        </r>
      </text>
    </comment>
    <comment ref="K9" authorId="0" shapeId="0" xr:uid="{771E815D-340A-46AA-886C-3BB6D28FB40E}">
      <text>
        <r>
          <rPr>
            <sz val="11"/>
            <color rgb="FF000000"/>
            <rFont val="MS PGothic"/>
            <family val="3"/>
            <charset val="128"/>
          </rPr>
          <t>１単位当たりの金額が必要な場合に入力
例)フェンス,Ｄパーツ等
不要な場合は"1"を入力</t>
        </r>
      </text>
    </comment>
    <comment ref="K20" authorId="0" shapeId="0" xr:uid="{FAE60197-FC4E-46F4-9C14-694C44BE1826}">
      <text>
        <r>
          <rPr>
            <sz val="11"/>
            <color rgb="FF000000"/>
            <rFont val="MS PGothic"/>
            <family val="3"/>
            <charset val="128"/>
          </rPr>
          <t>１単位当たりの金額が必要な場合に入力
例)フェンス,Ｄパーツ等
不要な場合は"1"を入力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4" authorId="0" shapeId="0" xr:uid="{F3F72100-479E-44B2-9A9E-01825D5E8D87}">
      <text>
        <r>
          <rPr>
            <b/>
            <sz val="9"/>
            <color indexed="81"/>
            <rFont val="MS P ゴシック"/>
            <family val="3"/>
            <charset val="128"/>
          </rPr>
          <t>必要段数を選択</t>
        </r>
      </text>
    </comment>
    <comment ref="D7" authorId="0" shapeId="0" xr:uid="{637529E6-6EF6-419F-9683-D8B1D03A3DA3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mあたり必要個数を入力
ex:ブロック幅400の場合
1000÷400=2.5個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有住遼</author>
  </authors>
  <commentList>
    <comment ref="B3" authorId="0" shapeId="0" xr:uid="{0A4F37F2-934E-44A5-B80B-D4BD27C450E5}">
      <text>
        <r>
          <rPr>
            <b/>
            <sz val="9"/>
            <color indexed="81"/>
            <rFont val="MS P ゴシック"/>
            <family val="3"/>
            <charset val="128"/>
          </rPr>
          <t>1枚目の情報が反映されます</t>
        </r>
      </text>
    </comment>
    <comment ref="B4" authorId="0" shapeId="0" xr:uid="{AF2C9CF1-7957-4825-8F55-3EAB1996B911}">
      <text>
        <r>
          <rPr>
            <b/>
            <sz val="9"/>
            <color indexed="81"/>
            <rFont val="MS P ゴシック"/>
            <family val="3"/>
            <charset val="128"/>
          </rPr>
          <t>1枚目の情報が反映されます</t>
        </r>
      </text>
    </comment>
  </commentList>
</comments>
</file>

<file path=xl/sharedStrings.xml><?xml version="1.0" encoding="utf-8"?>
<sst xmlns="http://schemas.openxmlformats.org/spreadsheetml/2006/main" count="254" uniqueCount="129">
  <si>
    <t>商品名</t>
  </si>
  <si>
    <t>掛率</t>
  </si>
  <si>
    <t>材料名</t>
  </si>
  <si>
    <t>定価</t>
  </si>
  <si>
    <t>個数</t>
  </si>
  <si>
    <t>単位</t>
  </si>
  <si>
    <t>仕入れ</t>
  </si>
  <si>
    <t>客出価格計</t>
  </si>
  <si>
    <t>材料1</t>
  </si>
  <si>
    <t>ブロック専用　積算シート</t>
  </si>
  <si>
    <t>御見積り書</t>
  </si>
  <si>
    <t>材料2</t>
  </si>
  <si>
    <t>割り数</t>
  </si>
  <si>
    <t>化粧</t>
  </si>
  <si>
    <t>材料4</t>
  </si>
  <si>
    <t>様</t>
  </si>
  <si>
    <t>サイズ</t>
  </si>
  <si>
    <t>客出単価</t>
  </si>
  <si>
    <t>材料5</t>
  </si>
  <si>
    <t>必要段数</t>
  </si>
  <si>
    <t>材料6</t>
  </si>
  <si>
    <t>材料7</t>
  </si>
  <si>
    <t>材料8</t>
  </si>
  <si>
    <t>材料9</t>
  </si>
  <si>
    <t>商品定価</t>
  </si>
  <si>
    <t>材料10</t>
  </si>
  <si>
    <t>千葉県柏市豊四季50-2</t>
  </si>
  <si>
    <t>ＴＥＬ　04-7142-0711</t>
  </si>
  <si>
    <t>金額</t>
  </si>
  <si>
    <t>-</t>
  </si>
  <si>
    <t>必要数</t>
  </si>
  <si>
    <t>小計</t>
  </si>
  <si>
    <t>ＦＡＸ　04-7142-0712</t>
  </si>
  <si>
    <t>担当：有住</t>
  </si>
  <si>
    <t>作業名</t>
  </si>
  <si>
    <t>単価</t>
  </si>
  <si>
    <t>仕切り</t>
  </si>
  <si>
    <t>作業1</t>
  </si>
  <si>
    <t>個</t>
  </si>
  <si>
    <t>工事項目</t>
  </si>
  <si>
    <t>摘要</t>
  </si>
  <si>
    <t>/m</t>
  </si>
  <si>
    <t>作業2</t>
  </si>
  <si>
    <t>数量</t>
  </si>
  <si>
    <t>作業3</t>
  </si>
  <si>
    <t>作業4</t>
  </si>
  <si>
    <t>m</t>
  </si>
  <si>
    <t>仕切り単価</t>
  </si>
  <si>
    <t>仕入れ計</t>
  </si>
  <si>
    <t>客出し価格</t>
  </si>
  <si>
    <t>ベース仕切り</t>
  </si>
  <si>
    <t>積み手間　仕切り</t>
  </si>
  <si>
    <t>段数</t>
  </si>
  <si>
    <t>区分</t>
  </si>
  <si>
    <t>スタンダード</t>
  </si>
  <si>
    <t>スタンダード型枠</t>
  </si>
  <si>
    <t>消費税</t>
  </si>
  <si>
    <t>％</t>
  </si>
  <si>
    <t>端数調整</t>
  </si>
  <si>
    <t>　　　　</t>
  </si>
  <si>
    <t>合　　　　　計</t>
  </si>
  <si>
    <t>材料3</t>
    <rPh sb="0" eb="2">
      <t>ザイリョウ</t>
    </rPh>
    <phoneticPr fontId="11"/>
  </si>
  <si>
    <t>作業１</t>
    <rPh sb="0" eb="2">
      <t>サギョウ</t>
    </rPh>
    <phoneticPr fontId="11"/>
  </si>
  <si>
    <t>作業２</t>
    <rPh sb="0" eb="2">
      <t>サギョウ</t>
    </rPh>
    <phoneticPr fontId="11"/>
  </si>
  <si>
    <t>作業３</t>
    <rPh sb="0" eb="2">
      <t>サギョウ</t>
    </rPh>
    <phoneticPr fontId="11"/>
  </si>
  <si>
    <t>作業４</t>
    <rPh sb="0" eb="2">
      <t>サギョウ</t>
    </rPh>
    <phoneticPr fontId="11"/>
  </si>
  <si>
    <t>作業５</t>
    <rPh sb="0" eb="2">
      <t>サギョウ</t>
    </rPh>
    <phoneticPr fontId="11"/>
  </si>
  <si>
    <t>ブロックベース</t>
    <phoneticPr fontId="11"/>
  </si>
  <si>
    <t>メーカー</t>
    <phoneticPr fontId="11"/>
  </si>
  <si>
    <t>商品名</t>
    <rPh sb="0" eb="3">
      <t>ショウヒンメイ</t>
    </rPh>
    <phoneticPr fontId="11"/>
  </si>
  <si>
    <t>単価</t>
    <rPh sb="0" eb="2">
      <t>タンカ</t>
    </rPh>
    <phoneticPr fontId="11"/>
  </si>
  <si>
    <t>個数</t>
    <rPh sb="0" eb="2">
      <t>コスウ</t>
    </rPh>
    <phoneticPr fontId="11"/>
  </si>
  <si>
    <t>金額</t>
    <rPh sb="0" eb="2">
      <t>キンガク</t>
    </rPh>
    <phoneticPr fontId="11"/>
  </si>
  <si>
    <t>NO.1</t>
    <phoneticPr fontId="19"/>
  </si>
  <si>
    <t>仕切り書</t>
    <rPh sb="0" eb="2">
      <t>シキ</t>
    </rPh>
    <rPh sb="3" eb="4">
      <t>ショ</t>
    </rPh>
    <phoneticPr fontId="19"/>
  </si>
  <si>
    <t>様</t>
    <rPh sb="0" eb="1">
      <t>サマ</t>
    </rPh>
    <phoneticPr fontId="19"/>
  </si>
  <si>
    <t>ｴｸｽｺｰﾎﾟﾚｰｼｮﾝ株式会社</t>
    <rPh sb="12" eb="14">
      <t>カブシキ</t>
    </rPh>
    <rPh sb="14" eb="16">
      <t>ガイシャ</t>
    </rPh>
    <phoneticPr fontId="19"/>
  </si>
  <si>
    <t>邸</t>
    <rPh sb="0" eb="1">
      <t>テイ</t>
    </rPh>
    <phoneticPr fontId="19"/>
  </si>
  <si>
    <t>税込合計金額</t>
  </si>
  <si>
    <t>税率</t>
    <rPh sb="0" eb="2">
      <t>ゼイリツ</t>
    </rPh>
    <phoneticPr fontId="19"/>
  </si>
  <si>
    <t>消費税</t>
    <rPh sb="0" eb="3">
      <t>ショウヒゼイ</t>
    </rPh>
    <phoneticPr fontId="19"/>
  </si>
  <si>
    <t>月</t>
    <rPh sb="0" eb="1">
      <t>ツキ</t>
    </rPh>
    <phoneticPr fontId="19"/>
  </si>
  <si>
    <t>日</t>
    <rPh sb="0" eb="1">
      <t>ニチ</t>
    </rPh>
    <phoneticPr fontId="19"/>
  </si>
  <si>
    <t>摘　　　要</t>
    <rPh sb="0" eb="1">
      <t>ツ</t>
    </rPh>
    <rPh sb="4" eb="5">
      <t>ヨウ</t>
    </rPh>
    <phoneticPr fontId="19"/>
  </si>
  <si>
    <t>数　量</t>
    <rPh sb="0" eb="1">
      <t>スウ</t>
    </rPh>
    <rPh sb="2" eb="3">
      <t>リョウ</t>
    </rPh>
    <phoneticPr fontId="19"/>
  </si>
  <si>
    <t>単位</t>
    <rPh sb="0" eb="2">
      <t>タンイ</t>
    </rPh>
    <phoneticPr fontId="19"/>
  </si>
  <si>
    <t>単　価</t>
    <rPh sb="0" eb="1">
      <t>タン</t>
    </rPh>
    <rPh sb="2" eb="3">
      <t>アタイ</t>
    </rPh>
    <phoneticPr fontId="19"/>
  </si>
  <si>
    <t>金　　額</t>
    <rPh sb="0" eb="1">
      <t>キン</t>
    </rPh>
    <rPh sb="3" eb="4">
      <t>ガク</t>
    </rPh>
    <phoneticPr fontId="19"/>
  </si>
  <si>
    <t>合　　　　　　計</t>
    <rPh sb="0" eb="1">
      <t>ゴウ</t>
    </rPh>
    <rPh sb="7" eb="8">
      <t>ケイ</t>
    </rPh>
    <phoneticPr fontId="19"/>
  </si>
  <si>
    <t>受注金額</t>
    <rPh sb="0" eb="2">
      <t>ジュチュウ</t>
    </rPh>
    <rPh sb="2" eb="4">
      <t>キンガク</t>
    </rPh>
    <phoneticPr fontId="11"/>
  </si>
  <si>
    <t>材料仕入れ</t>
    <rPh sb="0" eb="2">
      <t>ザイリョウ</t>
    </rPh>
    <rPh sb="2" eb="4">
      <t>シイ</t>
    </rPh>
    <phoneticPr fontId="11"/>
  </si>
  <si>
    <t>仕切り</t>
    <rPh sb="0" eb="2">
      <t>シキ</t>
    </rPh>
    <phoneticPr fontId="11"/>
  </si>
  <si>
    <t>粗利</t>
    <rPh sb="0" eb="2">
      <t>アラリ</t>
    </rPh>
    <phoneticPr fontId="11"/>
  </si>
  <si>
    <t>粗利率</t>
    <rPh sb="0" eb="1">
      <t>アラ</t>
    </rPh>
    <rPh sb="1" eb="3">
      <t>リリツ</t>
    </rPh>
    <phoneticPr fontId="11"/>
  </si>
  <si>
    <t>A</t>
    <phoneticPr fontId="11"/>
  </si>
  <si>
    <t>仕入れ</t>
    <rPh sb="0" eb="2">
      <t>シイ</t>
    </rPh>
    <phoneticPr fontId="11"/>
  </si>
  <si>
    <t>サイズ</t>
    <phoneticPr fontId="11"/>
  </si>
  <si>
    <t>施工費</t>
    <rPh sb="0" eb="3">
      <t>セコウヒ</t>
    </rPh>
    <phoneticPr fontId="11"/>
  </si>
  <si>
    <t>価格</t>
    <rPh sb="0" eb="2">
      <t>カカク</t>
    </rPh>
    <phoneticPr fontId="11"/>
  </si>
  <si>
    <t>詳細仕様</t>
    <rPh sb="0" eb="2">
      <t>ショウサイ</t>
    </rPh>
    <rPh sb="2" eb="4">
      <t>シヨウ</t>
    </rPh>
    <phoneticPr fontId="11"/>
  </si>
  <si>
    <t>色</t>
    <rPh sb="0" eb="1">
      <t>イロ</t>
    </rPh>
    <phoneticPr fontId="11"/>
  </si>
  <si>
    <t>数量</t>
    <rPh sb="0" eb="2">
      <t>スウリョウ</t>
    </rPh>
    <phoneticPr fontId="11"/>
  </si>
  <si>
    <t>届け先名</t>
    <rPh sb="0" eb="1">
      <t>トド</t>
    </rPh>
    <rPh sb="2" eb="3">
      <t>サキ</t>
    </rPh>
    <rPh sb="3" eb="4">
      <t>メイ</t>
    </rPh>
    <phoneticPr fontId="11"/>
  </si>
  <si>
    <t>納期指定</t>
    <rPh sb="0" eb="2">
      <t>ノウキ</t>
    </rPh>
    <rPh sb="2" eb="4">
      <t>シテイ</t>
    </rPh>
    <phoneticPr fontId="11"/>
  </si>
  <si>
    <t>搬入車両</t>
    <rPh sb="0" eb="2">
      <t>ハンニュウ</t>
    </rPh>
    <rPh sb="2" eb="4">
      <t>シャリョウ</t>
    </rPh>
    <phoneticPr fontId="11"/>
  </si>
  <si>
    <t>住所</t>
    <rPh sb="0" eb="2">
      <t>ジュウショ</t>
    </rPh>
    <phoneticPr fontId="11"/>
  </si>
  <si>
    <t>株式会社メイク　柏店御中</t>
    <rPh sb="0" eb="4">
      <t>カブシキガイシャ</t>
    </rPh>
    <rPh sb="8" eb="10">
      <t>カシワテン</t>
    </rPh>
    <rPh sb="10" eb="12">
      <t>オンチュウ</t>
    </rPh>
    <phoneticPr fontId="11"/>
  </si>
  <si>
    <t>特になし</t>
  </si>
  <si>
    <t>担当：有住</t>
    <rPh sb="0" eb="2">
      <t>タントウ</t>
    </rPh>
    <rPh sb="3" eb="5">
      <t>アリスミ</t>
    </rPh>
    <phoneticPr fontId="11"/>
  </si>
  <si>
    <t>端数調整</t>
    <rPh sb="0" eb="2">
      <t>ハスウ</t>
    </rPh>
    <rPh sb="2" eb="4">
      <t>チョウセイ</t>
    </rPh>
    <phoneticPr fontId="11"/>
  </si>
  <si>
    <t>仕入れ単価</t>
  </si>
  <si>
    <t>施工費単価</t>
  </si>
  <si>
    <t>御見積り書</t>
    <rPh sb="0" eb="1">
      <t>オ</t>
    </rPh>
    <rPh sb="1" eb="3">
      <t>ミツモ</t>
    </rPh>
    <rPh sb="4" eb="5">
      <t>ショ</t>
    </rPh>
    <phoneticPr fontId="11"/>
  </si>
  <si>
    <t>様</t>
    <rPh sb="0" eb="1">
      <t>サマ</t>
    </rPh>
    <phoneticPr fontId="11"/>
  </si>
  <si>
    <t>千葉県柏市豊四季50-2</t>
    <rPh sb="0" eb="3">
      <t>チバケン</t>
    </rPh>
    <rPh sb="3" eb="5">
      <t>カシワシ</t>
    </rPh>
    <rPh sb="5" eb="8">
      <t>トヨシキ</t>
    </rPh>
    <phoneticPr fontId="11"/>
  </si>
  <si>
    <t>工事項目</t>
    <rPh sb="0" eb="2">
      <t>コウジ</t>
    </rPh>
    <rPh sb="2" eb="4">
      <t>コウモク</t>
    </rPh>
    <phoneticPr fontId="11"/>
  </si>
  <si>
    <t>小計①+②</t>
    <rPh sb="0" eb="2">
      <t>ショウケイ</t>
    </rPh>
    <phoneticPr fontId="11"/>
  </si>
  <si>
    <t>消費税</t>
    <rPh sb="0" eb="3">
      <t>ショウヒゼイ</t>
    </rPh>
    <phoneticPr fontId="11"/>
  </si>
  <si>
    <t>小計①</t>
    <rPh sb="0" eb="2">
      <t>ショウケイ</t>
    </rPh>
    <phoneticPr fontId="11"/>
  </si>
  <si>
    <t>小計②</t>
    <rPh sb="0" eb="2">
      <t>ショウケイ</t>
    </rPh>
    <phoneticPr fontId="11"/>
  </si>
  <si>
    <t>摘要</t>
    <rPh sb="0" eb="2">
      <t>テキヨウ</t>
    </rPh>
    <phoneticPr fontId="11"/>
  </si>
  <si>
    <t>定価</t>
    <rPh sb="0" eb="2">
      <t>テイカ</t>
    </rPh>
    <phoneticPr fontId="11"/>
  </si>
  <si>
    <t>材料</t>
    <rPh sb="0" eb="2">
      <t>ザイリョウ</t>
    </rPh>
    <phoneticPr fontId="11"/>
  </si>
  <si>
    <t>積み手間</t>
    <rPh sb="0" eb="1">
      <t>ツ</t>
    </rPh>
    <rPh sb="2" eb="4">
      <t>テマ</t>
    </rPh>
    <phoneticPr fontId="11"/>
  </si>
  <si>
    <t>スタンダード120</t>
    <phoneticPr fontId="11"/>
  </si>
  <si>
    <t>※ラクメジ</t>
    <phoneticPr fontId="11"/>
  </si>
  <si>
    <t>スタンダード150</t>
    <phoneticPr fontId="11"/>
  </si>
  <si>
    <t>担当：石井</t>
    <rPh sb="0" eb="2">
      <t>タントウ</t>
    </rPh>
    <rPh sb="3" eb="5">
      <t>イシイ</t>
    </rPh>
    <phoneticPr fontId="11"/>
  </si>
  <si>
    <t>ドゥーロック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</si>
</sst>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¥&quot;#,##0;&quot;¥&quot;\-#,##0"/>
    <numFmt numFmtId="176" formatCode="#,##0_ "/>
    <numFmt numFmtId="177" formatCode="0.00_);[Red]\(0.00\)"/>
    <numFmt numFmtId="178" formatCode="0_ "/>
    <numFmt numFmtId="179" formatCode="0.0_ "/>
    <numFmt numFmtId="180" formatCode="#,##0.00_ "/>
    <numFmt numFmtId="181" formatCode="#,##0_);[Red]\(#,##0\)"/>
    <numFmt numFmtId="182" formatCode="&quot;¥&quot;#,##0_);[Red]\(&quot;¥&quot;#,##0\)"/>
    <numFmt numFmtId="183" formatCode="#,##0_ ;[Red]\-#,##0\ "/>
    <numFmt numFmtId="184" formatCode="[$-F800]dddd\,\ mmmm\ dd\,\ yyyy"/>
    <numFmt numFmtId="185" formatCode="#,##0.0_ "/>
    <numFmt numFmtId="186" formatCode="[$-411]ggge&quot;年&quot;m&quot;月&quot;d&quot;日&quot;;@"/>
    <numFmt numFmtId="187" formatCode="0_);[Red]\(0\)"/>
  </numFmts>
  <fonts count="49">
    <font>
      <sz val="11"/>
      <color rgb="FF000000"/>
      <name val="MS PGothic"/>
    </font>
    <font>
      <sz val="11"/>
      <name val="MS PGothic"/>
      <family val="3"/>
      <charset val="128"/>
    </font>
    <font>
      <sz val="11"/>
      <name val="MS PGothic"/>
      <family val="3"/>
      <charset val="128"/>
    </font>
    <font>
      <sz val="24"/>
      <name val="MS PGothic"/>
      <family val="3"/>
      <charset val="128"/>
    </font>
    <font>
      <b/>
      <sz val="11"/>
      <name val="MS PGothic"/>
      <family val="3"/>
      <charset val="128"/>
    </font>
    <font>
      <b/>
      <sz val="20"/>
      <name val="MS PGothic"/>
      <family val="3"/>
      <charset val="128"/>
    </font>
    <font>
      <b/>
      <sz val="18"/>
      <name val="MS PGothic"/>
      <family val="3"/>
      <charset val="128"/>
    </font>
    <font>
      <b/>
      <sz val="11"/>
      <name val="MS PMincho"/>
      <family val="1"/>
      <charset val="128"/>
    </font>
    <font>
      <b/>
      <sz val="12"/>
      <name val="MS PMincho"/>
      <family val="1"/>
      <charset val="128"/>
    </font>
    <font>
      <sz val="12"/>
      <name val="MS PMincho"/>
      <family val="1"/>
      <charset val="128"/>
    </font>
    <font>
      <sz val="12"/>
      <name val="MS PGothic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HGPｺﾞｼｯｸM"/>
      <family val="3"/>
      <charset val="128"/>
    </font>
    <font>
      <sz val="11"/>
      <name val="HGPｺﾞｼｯｸM"/>
      <family val="3"/>
      <charset val="128"/>
    </font>
    <font>
      <sz val="14"/>
      <name val="HGPｺﾞｼｯｸM"/>
      <family val="3"/>
      <charset val="128"/>
    </font>
    <font>
      <sz val="12"/>
      <name val="HGPｺﾞｼｯｸM"/>
      <family val="3"/>
      <charset val="128"/>
    </font>
    <font>
      <sz val="11"/>
      <color rgb="FF000000"/>
      <name val="MS PGothic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FF0000"/>
      <name val="MS PGothic"/>
      <family val="3"/>
      <charset val="128"/>
    </font>
    <font>
      <sz val="6"/>
      <name val="游ゴシック"/>
      <family val="2"/>
      <charset val="128"/>
      <scheme val="minor"/>
    </font>
    <font>
      <b/>
      <sz val="14"/>
      <color theme="1"/>
      <name val="HGPｺﾞｼｯｸM"/>
      <family val="3"/>
      <charset val="128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HGPｺﾞｼｯｸM"/>
      <family val="3"/>
      <charset val="128"/>
    </font>
    <font>
      <sz val="10"/>
      <color theme="1"/>
      <name val="HGPｺﾞｼｯｸM"/>
      <family val="3"/>
      <charset val="128"/>
    </font>
    <font>
      <sz val="9"/>
      <color indexed="81"/>
      <name val="MS P ゴシック"/>
      <family val="3"/>
      <charset val="128"/>
    </font>
    <font>
      <sz val="11"/>
      <color rgb="FFFF0000"/>
      <name val="HGPｺﾞｼｯｸM"/>
      <family val="3"/>
      <charset val="128"/>
    </font>
    <font>
      <sz val="14"/>
      <color rgb="FF000000"/>
      <name val="MS PGothic"/>
      <family val="3"/>
      <charset val="128"/>
    </font>
    <font>
      <sz val="16"/>
      <color rgb="FF000000"/>
      <name val="MS PGothic"/>
      <family val="3"/>
      <charset val="128"/>
    </font>
    <font>
      <sz val="12"/>
      <color indexed="8"/>
      <name val="HGPｺﾞｼｯｸM"/>
      <family val="3"/>
      <charset val="128"/>
    </font>
    <font>
      <b/>
      <sz val="12"/>
      <name val="HGPｺﾞｼｯｸM"/>
      <family val="3"/>
      <charset val="128"/>
    </font>
    <font>
      <sz val="12"/>
      <color rgb="FF000000"/>
      <name val="HGPｺﾞｼｯｸM"/>
      <family val="3"/>
      <charset val="128"/>
    </font>
    <font>
      <sz val="18"/>
      <name val="HGPｺﾞｼｯｸM"/>
      <family val="3"/>
      <charset val="128"/>
    </font>
    <font>
      <sz val="18"/>
      <color rgb="FF000000"/>
      <name val="HGPｺﾞｼｯｸM"/>
      <family val="3"/>
      <charset val="128"/>
    </font>
    <font>
      <sz val="10"/>
      <color rgb="FFFF0000"/>
      <name val="HGPｺﾞｼｯｸM"/>
      <family val="3"/>
      <charset val="128"/>
    </font>
    <font>
      <sz val="11"/>
      <name val="ＭＳ Ｐゴシック"/>
      <family val="3"/>
      <charset val="128"/>
    </font>
    <font>
      <sz val="12"/>
      <name val="ＭＳ Ｐ明朝"/>
      <family val="1"/>
      <charset val="128"/>
    </font>
    <font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12"/>
      <name val="ＭＳ Ｐ明朝"/>
      <family val="1"/>
      <charset val="128"/>
    </font>
    <font>
      <b/>
      <sz val="20"/>
      <name val="ＭＳ Ｐゴシック"/>
      <family val="3"/>
      <charset val="128"/>
    </font>
    <font>
      <sz val="24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HGPｺﾞｼｯｸM"/>
      <family val="3"/>
      <charset val="128"/>
    </font>
    <font>
      <sz val="11"/>
      <name val="MS PMincho"/>
      <family val="1"/>
      <charset val="128"/>
    </font>
  </fonts>
  <fills count="18">
    <fill>
      <patternFill patternType="none"/>
    </fill>
    <fill>
      <patternFill patternType="gray125"/>
    </fill>
    <fill>
      <patternFill patternType="solid">
        <fgColor rgb="FFC6D9F0"/>
        <bgColor rgb="FFC6D9F0"/>
      </patternFill>
    </fill>
    <fill>
      <patternFill patternType="solid">
        <fgColor rgb="FF99CC00"/>
        <bgColor rgb="FF99CC00"/>
      </patternFill>
    </fill>
    <fill>
      <patternFill patternType="solid">
        <fgColor rgb="FFDBE5F1"/>
        <bgColor rgb="FFDBE5F1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rgb="FFDDD9C3"/>
      </patternFill>
    </fill>
    <fill>
      <patternFill patternType="solid">
        <fgColor theme="8" tint="0.39997558519241921"/>
        <bgColor rgb="FFDBE5F1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99CC00"/>
      </patternFill>
    </fill>
    <fill>
      <patternFill patternType="solid">
        <fgColor theme="8" tint="0.39997558519241921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DDD9C3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5" tint="0.59999389629810485"/>
        <bgColor rgb="FFDDD9C3"/>
      </patternFill>
    </fill>
    <fill>
      <patternFill patternType="solid">
        <fgColor theme="5" tint="0.59999389629810485"/>
        <bgColor indexed="64"/>
      </patternFill>
    </fill>
  </fills>
  <borders count="12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7" fillId="0" borderId="0"/>
  </cellStyleXfs>
  <cellXfs count="470">
    <xf numFmtId="0" fontId="0" fillId="0" borderId="0" xfId="0" applyFont="1" applyAlignment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76" fontId="13" fillId="0" borderId="5" xfId="0" applyNumberFormat="1" applyFont="1" applyBorder="1" applyAlignment="1">
      <alignment vertical="center"/>
    </xf>
    <xf numFmtId="176" fontId="13" fillId="0" borderId="0" xfId="0" applyNumberFormat="1" applyFont="1" applyAlignment="1">
      <alignment vertical="center"/>
    </xf>
    <xf numFmtId="180" fontId="13" fillId="5" borderId="5" xfId="0" applyNumberFormat="1" applyFont="1" applyFill="1" applyBorder="1" applyAlignment="1">
      <alignment vertical="center"/>
    </xf>
    <xf numFmtId="180" fontId="13" fillId="0" borderId="5" xfId="0" applyNumberFormat="1" applyFont="1" applyBorder="1" applyAlignment="1">
      <alignment vertical="center"/>
    </xf>
    <xf numFmtId="180" fontId="13" fillId="0" borderId="14" xfId="0" applyNumberFormat="1" applyFont="1" applyBorder="1" applyAlignment="1">
      <alignment horizontal="center" vertical="center"/>
    </xf>
    <xf numFmtId="176" fontId="13" fillId="0" borderId="14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180" fontId="13" fillId="0" borderId="5" xfId="0" applyNumberFormat="1" applyFont="1" applyBorder="1" applyAlignment="1">
      <alignment horizontal="center" vertical="center"/>
    </xf>
    <xf numFmtId="176" fontId="13" fillId="0" borderId="5" xfId="0" applyNumberFormat="1" applyFont="1" applyBorder="1" applyAlignment="1">
      <alignment horizontal="center" vertical="center"/>
    </xf>
    <xf numFmtId="0" fontId="13" fillId="0" borderId="5" xfId="0" applyFont="1" applyBorder="1"/>
    <xf numFmtId="176" fontId="13" fillId="6" borderId="5" xfId="0" applyNumberFormat="1" applyFont="1" applyFill="1" applyBorder="1" applyAlignment="1">
      <alignment vertical="center"/>
    </xf>
    <xf numFmtId="176" fontId="13" fillId="6" borderId="14" xfId="0" applyNumberFormat="1" applyFont="1" applyFill="1" applyBorder="1" applyAlignment="1">
      <alignment vertical="center"/>
    </xf>
    <xf numFmtId="0" fontId="13" fillId="7" borderId="5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176" fontId="13" fillId="9" borderId="15" xfId="0" applyNumberFormat="1" applyFont="1" applyFill="1" applyBorder="1" applyAlignment="1">
      <alignment vertical="center"/>
    </xf>
    <xf numFmtId="176" fontId="13" fillId="9" borderId="15" xfId="0" applyNumberFormat="1" applyFont="1" applyFill="1" applyBorder="1" applyAlignment="1">
      <alignment horizontal="center" vertical="center"/>
    </xf>
    <xf numFmtId="180" fontId="13" fillId="9" borderId="15" xfId="0" applyNumberFormat="1" applyFont="1" applyFill="1" applyBorder="1" applyAlignment="1">
      <alignment horizontal="center" vertical="center"/>
    </xf>
    <xf numFmtId="0" fontId="13" fillId="9" borderId="28" xfId="0" applyFont="1" applyFill="1" applyBorder="1" applyAlignment="1">
      <alignment horizontal="center" vertical="center"/>
    </xf>
    <xf numFmtId="182" fontId="13" fillId="9" borderId="29" xfId="0" applyNumberFormat="1" applyFont="1" applyFill="1" applyBorder="1" applyAlignment="1">
      <alignment horizontal="center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31" xfId="0" applyFont="1" applyFill="1" applyBorder="1" applyAlignment="1">
      <alignment horizontal="left" vertical="center"/>
    </xf>
    <xf numFmtId="176" fontId="13" fillId="6" borderId="5" xfId="0" applyNumberFormat="1" applyFont="1" applyFill="1" applyBorder="1" applyAlignment="1">
      <alignment horizontal="center" vertical="center"/>
    </xf>
    <xf numFmtId="0" fontId="13" fillId="11" borderId="5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2" fillId="0" borderId="0" xfId="0" applyFont="1" applyFill="1" applyAlignment="1">
      <alignment horizontal="left" vertical="center"/>
    </xf>
    <xf numFmtId="0" fontId="0" fillId="0" borderId="0" xfId="0" applyFont="1" applyFill="1" applyAlignment="1"/>
    <xf numFmtId="0" fontId="4" fillId="0" borderId="11" xfId="0" applyFont="1" applyFill="1" applyBorder="1" applyAlignment="1"/>
    <xf numFmtId="0" fontId="5" fillId="0" borderId="11" xfId="0" applyFont="1" applyFill="1" applyBorder="1" applyAlignment="1">
      <alignment vertical="center"/>
    </xf>
    <xf numFmtId="0" fontId="4" fillId="0" borderId="0" xfId="0" applyFont="1" applyFill="1" applyAlignment="1"/>
    <xf numFmtId="0" fontId="4" fillId="0" borderId="0" xfId="0" applyFont="1" applyFill="1" applyAlignment="1">
      <alignment horizontal="right"/>
    </xf>
    <xf numFmtId="0" fontId="7" fillId="0" borderId="0" xfId="0" applyFont="1" applyFill="1" applyAlignment="1"/>
    <xf numFmtId="0" fontId="8" fillId="0" borderId="0" xfId="0" applyFont="1" applyFill="1" applyAlignment="1">
      <alignment horizontal="right"/>
    </xf>
    <xf numFmtId="0" fontId="8" fillId="0" borderId="0" xfId="0" applyFont="1" applyFill="1" applyAlignment="1"/>
    <xf numFmtId="179" fontId="8" fillId="0" borderId="0" xfId="0" applyNumberFormat="1" applyFont="1" applyFill="1" applyAlignment="1"/>
    <xf numFmtId="0" fontId="8" fillId="0" borderId="0" xfId="0" applyFont="1" applyFill="1" applyAlignment="1">
      <alignment horizontal="center"/>
    </xf>
    <xf numFmtId="176" fontId="8" fillId="0" borderId="0" xfId="0" applyNumberFormat="1" applyFont="1" applyFill="1" applyAlignment="1"/>
    <xf numFmtId="0" fontId="9" fillId="0" borderId="0" xfId="0" applyFont="1" applyFill="1" applyAlignment="1"/>
    <xf numFmtId="0" fontId="7" fillId="0" borderId="0" xfId="0" applyFont="1" applyFill="1" applyAlignment="1">
      <alignment vertical="center"/>
    </xf>
    <xf numFmtId="179" fontId="10" fillId="0" borderId="21" xfId="0" applyNumberFormat="1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 vertical="center"/>
    </xf>
    <xf numFmtId="176" fontId="10" fillId="0" borderId="22" xfId="0" applyNumberFormat="1" applyFont="1" applyFill="1" applyBorder="1" applyAlignment="1">
      <alignment horizontal="center" vertical="center"/>
    </xf>
    <xf numFmtId="176" fontId="10" fillId="0" borderId="24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76" fontId="10" fillId="0" borderId="32" xfId="0" applyNumberFormat="1" applyFont="1" applyFill="1" applyBorder="1" applyAlignment="1">
      <alignment vertical="center"/>
    </xf>
    <xf numFmtId="176" fontId="10" fillId="0" borderId="0" xfId="0" applyNumberFormat="1" applyFont="1" applyFill="1" applyBorder="1" applyAlignment="1">
      <alignment vertical="center"/>
    </xf>
    <xf numFmtId="0" fontId="0" fillId="0" borderId="0" xfId="0" applyFont="1" applyFill="1" applyAlignment="1"/>
    <xf numFmtId="0" fontId="16" fillId="0" borderId="0" xfId="0" applyFont="1" applyAlignment="1"/>
    <xf numFmtId="0" fontId="16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5" fontId="0" fillId="0" borderId="0" xfId="0" applyNumberFormat="1" applyFont="1" applyAlignment="1"/>
    <xf numFmtId="0" fontId="1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5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5" fontId="16" fillId="0" borderId="0" xfId="0" applyNumberFormat="1" applyFont="1" applyAlignment="1">
      <alignment horizontal="right"/>
    </xf>
    <xf numFmtId="182" fontId="0" fillId="0" borderId="0" xfId="0" applyNumberFormat="1" applyFont="1" applyAlignment="1">
      <alignment horizontal="right"/>
    </xf>
    <xf numFmtId="0" fontId="21" fillId="0" borderId="55" xfId="0" applyFont="1" applyBorder="1" applyAlignment="1">
      <alignment vertical="center"/>
    </xf>
    <xf numFmtId="0" fontId="21" fillId="0" borderId="0" xfId="0" applyFont="1" applyAlignment="1">
      <alignment vertical="center"/>
    </xf>
    <xf numFmtId="183" fontId="21" fillId="0" borderId="0" xfId="0" applyNumberFormat="1" applyFont="1" applyAlignment="1">
      <alignment vertical="center"/>
    </xf>
    <xf numFmtId="184" fontId="21" fillId="0" borderId="0" xfId="0" applyNumberFormat="1" applyFont="1" applyAlignment="1">
      <alignment horizontal="center" vertical="center"/>
    </xf>
    <xf numFmtId="0" fontId="23" fillId="0" borderId="55" xfId="0" applyFont="1" applyBorder="1" applyAlignment="1">
      <alignment vertical="center"/>
    </xf>
    <xf numFmtId="0" fontId="23" fillId="0" borderId="0" xfId="0" applyFont="1" applyAlignment="1">
      <alignment vertical="center"/>
    </xf>
    <xf numFmtId="18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5" fontId="21" fillId="0" borderId="59" xfId="0" applyNumberFormat="1" applyFont="1" applyBorder="1" applyAlignment="1">
      <alignment horizontal="center" vertical="center"/>
    </xf>
    <xf numFmtId="9" fontId="21" fillId="0" borderId="63" xfId="0" applyNumberFormat="1" applyFont="1" applyBorder="1" applyAlignment="1">
      <alignment horizontal="center" vertical="center"/>
    </xf>
    <xf numFmtId="0" fontId="20" fillId="0" borderId="6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5" fontId="22" fillId="0" borderId="0" xfId="0" applyNumberFormat="1" applyFont="1" applyAlignment="1">
      <alignment horizontal="center" vertical="center"/>
    </xf>
    <xf numFmtId="5" fontId="21" fillId="0" borderId="0" xfId="0" applyNumberFormat="1" applyFont="1" applyAlignment="1">
      <alignment horizontal="center" vertical="center"/>
    </xf>
    <xf numFmtId="9" fontId="21" fillId="0" borderId="0" xfId="0" applyNumberFormat="1" applyFont="1" applyAlignment="1">
      <alignment horizontal="center" vertical="center"/>
    </xf>
    <xf numFmtId="183" fontId="21" fillId="0" borderId="0" xfId="0" applyNumberFormat="1" applyFont="1" applyAlignment="1">
      <alignment horizontal="center" vertical="center"/>
    </xf>
    <xf numFmtId="176" fontId="22" fillId="0" borderId="0" xfId="0" applyNumberFormat="1" applyFont="1" applyAlignment="1">
      <alignment horizontal="right" vertical="center"/>
    </xf>
    <xf numFmtId="176" fontId="22" fillId="0" borderId="66" xfId="0" applyNumberFormat="1" applyFont="1" applyBorder="1" applyAlignment="1">
      <alignment horizontal="right" vertical="center"/>
    </xf>
    <xf numFmtId="0" fontId="21" fillId="0" borderId="63" xfId="0" applyFont="1" applyBorder="1" applyAlignment="1">
      <alignment horizontal="center" vertical="center"/>
    </xf>
    <xf numFmtId="0" fontId="21" fillId="0" borderId="57" xfId="0" applyFont="1" applyBorder="1" applyAlignment="1">
      <alignment horizontal="center" vertical="center"/>
    </xf>
    <xf numFmtId="183" fontId="21" fillId="0" borderId="57" xfId="0" applyNumberFormat="1" applyFont="1" applyBorder="1" applyAlignment="1">
      <alignment horizontal="center" vertical="center"/>
    </xf>
    <xf numFmtId="0" fontId="21" fillId="0" borderId="57" xfId="0" applyFont="1" applyBorder="1" applyAlignment="1">
      <alignment vertical="center"/>
    </xf>
    <xf numFmtId="185" fontId="21" fillId="0" borderId="57" xfId="0" applyNumberFormat="1" applyFont="1" applyBorder="1" applyAlignment="1">
      <alignment vertical="center"/>
    </xf>
    <xf numFmtId="185" fontId="21" fillId="0" borderId="57" xfId="0" applyNumberFormat="1" applyFont="1" applyBorder="1" applyAlignment="1">
      <alignment horizontal="center" vertical="center"/>
    </xf>
    <xf numFmtId="183" fontId="21" fillId="0" borderId="57" xfId="0" applyNumberFormat="1" applyFont="1" applyBorder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0" fillId="0" borderId="0" xfId="0" applyFont="1" applyFill="1" applyAlignment="1"/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/>
    <xf numFmtId="0" fontId="2" fillId="0" borderId="0" xfId="0" applyFont="1" applyFill="1" applyAlignment="1">
      <alignment horizontal="right"/>
    </xf>
    <xf numFmtId="0" fontId="2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18" fillId="0" borderId="0" xfId="0" applyFont="1" applyFill="1" applyBorder="1" applyAlignment="1"/>
    <xf numFmtId="0" fontId="29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57" xfId="0" applyFont="1" applyBorder="1" applyAlignment="1">
      <alignment horizontal="center" vertical="center"/>
    </xf>
    <xf numFmtId="0" fontId="0" fillId="0" borderId="57" xfId="0" applyFont="1" applyBorder="1" applyAlignment="1">
      <alignment vertical="center"/>
    </xf>
    <xf numFmtId="0" fontId="29" fillId="0" borderId="57" xfId="0" applyFont="1" applyBorder="1" applyAlignment="1">
      <alignment vertical="center"/>
    </xf>
    <xf numFmtId="0" fontId="29" fillId="0" borderId="69" xfId="0" applyFont="1" applyBorder="1" applyAlignment="1">
      <alignment horizontal="right" vertical="center"/>
    </xf>
    <xf numFmtId="0" fontId="29" fillId="0" borderId="69" xfId="0" applyFont="1" applyBorder="1" applyAlignment="1">
      <alignment vertical="center"/>
    </xf>
    <xf numFmtId="14" fontId="29" fillId="0" borderId="69" xfId="0" applyNumberFormat="1" applyFont="1" applyBorder="1" applyAlignment="1">
      <alignment horizontal="center" vertical="center"/>
    </xf>
    <xf numFmtId="0" fontId="16" fillId="0" borderId="57" xfId="0" applyFont="1" applyBorder="1" applyAlignment="1">
      <alignment vertical="center"/>
    </xf>
    <xf numFmtId="0" fontId="15" fillId="0" borderId="5" xfId="0" applyFont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vertical="center"/>
    </xf>
    <xf numFmtId="176" fontId="31" fillId="0" borderId="5" xfId="0" applyNumberFormat="1" applyFont="1" applyBorder="1" applyAlignment="1">
      <alignment vertical="center"/>
    </xf>
    <xf numFmtId="177" fontId="15" fillId="0" borderId="5" xfId="0" applyNumberFormat="1" applyFont="1" applyBorder="1" applyAlignment="1">
      <alignment vertical="center"/>
    </xf>
    <xf numFmtId="178" fontId="15" fillId="5" borderId="5" xfId="0" applyNumberFormat="1" applyFont="1" applyFill="1" applyBorder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178" fontId="15" fillId="5" borderId="14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vertical="center"/>
    </xf>
    <xf numFmtId="176" fontId="15" fillId="3" borderId="15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1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176" fontId="15" fillId="2" borderId="5" xfId="0" applyNumberFormat="1" applyFont="1" applyFill="1" applyBorder="1" applyAlignment="1">
      <alignment horizontal="center" vertical="center"/>
    </xf>
    <xf numFmtId="181" fontId="15" fillId="0" borderId="5" xfId="0" applyNumberFormat="1" applyFont="1" applyBorder="1" applyAlignment="1">
      <alignment vertical="center"/>
    </xf>
    <xf numFmtId="177" fontId="15" fillId="0" borderId="2" xfId="0" applyNumberFormat="1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10" xfId="0" applyFont="1" applyBorder="1" applyAlignment="1">
      <alignment vertical="center"/>
    </xf>
    <xf numFmtId="181" fontId="15" fillId="3" borderId="15" xfId="0" applyNumberFormat="1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3" fillId="0" borderId="0" xfId="0" applyFont="1" applyAlignment="1"/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57" xfId="0" applyFont="1" applyBorder="1" applyAlignment="1">
      <alignment horizontal="center" vertical="center"/>
    </xf>
    <xf numFmtId="182" fontId="0" fillId="0" borderId="57" xfId="0" applyNumberFormat="1" applyFont="1" applyBorder="1" applyAlignment="1">
      <alignment horizontal="right" vertical="center"/>
    </xf>
    <xf numFmtId="9" fontId="0" fillId="0" borderId="57" xfId="0" applyNumberFormat="1" applyFont="1" applyBorder="1" applyAlignment="1">
      <alignment horizontal="right" vertical="center"/>
    </xf>
    <xf numFmtId="0" fontId="14" fillId="0" borderId="0" xfId="0" applyFont="1" applyAlignment="1">
      <alignment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3" fillId="0" borderId="5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80" fontId="13" fillId="0" borderId="0" xfId="0" applyNumberFormat="1" applyFont="1" applyAlignment="1">
      <alignment vertical="center"/>
    </xf>
    <xf numFmtId="0" fontId="13" fillId="8" borderId="5" xfId="0" applyFont="1" applyFill="1" applyBorder="1" applyAlignment="1">
      <alignment horizontal="center" vertical="center"/>
    </xf>
    <xf numFmtId="176" fontId="13" fillId="8" borderId="5" xfId="0" applyNumberFormat="1" applyFont="1" applyFill="1" applyBorder="1" applyAlignment="1">
      <alignment vertical="center"/>
    </xf>
    <xf numFmtId="180" fontId="13" fillId="13" borderId="5" xfId="0" applyNumberFormat="1" applyFont="1" applyFill="1" applyBorder="1" applyAlignment="1">
      <alignment vertical="center"/>
    </xf>
    <xf numFmtId="180" fontId="13" fillId="14" borderId="5" xfId="0" applyNumberFormat="1" applyFont="1" applyFill="1" applyBorder="1" applyAlignment="1">
      <alignment horizontal="center" vertical="center"/>
    </xf>
    <xf numFmtId="176" fontId="13" fillId="14" borderId="5" xfId="0" applyNumberFormat="1" applyFont="1" applyFill="1" applyBorder="1" applyAlignment="1">
      <alignment vertical="center"/>
    </xf>
    <xf numFmtId="176" fontId="13" fillId="14" borderId="5" xfId="0" applyNumberFormat="1" applyFont="1" applyFill="1" applyBorder="1" applyAlignment="1">
      <alignment horizontal="center" vertical="center"/>
    </xf>
    <xf numFmtId="0" fontId="13" fillId="9" borderId="39" xfId="0" applyFont="1" applyFill="1" applyBorder="1" applyAlignment="1">
      <alignment horizontal="center" vertical="center"/>
    </xf>
    <xf numFmtId="182" fontId="13" fillId="9" borderId="48" xfId="0" applyNumberFormat="1" applyFont="1" applyFill="1" applyBorder="1" applyAlignment="1">
      <alignment horizontal="center" vertical="center"/>
    </xf>
    <xf numFmtId="0" fontId="37" fillId="0" borderId="0" xfId="1"/>
    <xf numFmtId="0" fontId="38" fillId="0" borderId="0" xfId="1" applyFont="1"/>
    <xf numFmtId="0" fontId="38" fillId="0" borderId="0" xfId="1" applyFont="1" applyAlignment="1">
      <alignment vertical="center"/>
    </xf>
    <xf numFmtId="0" fontId="37" fillId="0" borderId="0" xfId="1" applyAlignment="1">
      <alignment vertical="center"/>
    </xf>
    <xf numFmtId="0" fontId="38" fillId="0" borderId="0" xfId="1" applyFont="1" applyBorder="1" applyAlignment="1">
      <alignment horizontal="center" vertical="center"/>
    </xf>
    <xf numFmtId="0" fontId="38" fillId="0" borderId="0" xfId="1" applyFont="1" applyAlignment="1">
      <alignment horizontal="center" vertical="center"/>
    </xf>
    <xf numFmtId="0" fontId="40" fillId="0" borderId="0" xfId="1" applyFont="1"/>
    <xf numFmtId="0" fontId="41" fillId="0" borderId="0" xfId="1" applyFont="1"/>
    <xf numFmtId="0" fontId="42" fillId="0" borderId="0" xfId="1" applyFont="1"/>
    <xf numFmtId="179" fontId="42" fillId="0" borderId="0" xfId="1" applyNumberFormat="1" applyFont="1"/>
    <xf numFmtId="176" fontId="42" fillId="0" borderId="0" xfId="1" applyNumberFormat="1" applyFont="1"/>
    <xf numFmtId="0" fontId="41" fillId="0" borderId="0" xfId="1" applyFont="1" applyAlignment="1">
      <alignment vertical="center"/>
    </xf>
    <xf numFmtId="0" fontId="41" fillId="0" borderId="0" xfId="1" applyFont="1" applyBorder="1" applyAlignment="1">
      <alignment vertical="center"/>
    </xf>
    <xf numFmtId="0" fontId="37" fillId="0" borderId="0" xfId="1" applyFont="1" applyBorder="1"/>
    <xf numFmtId="0" fontId="37" fillId="0" borderId="0" xfId="1" applyBorder="1"/>
    <xf numFmtId="0" fontId="40" fillId="0" borderId="55" xfId="1" applyFont="1" applyBorder="1"/>
    <xf numFmtId="0" fontId="43" fillId="0" borderId="55" xfId="1" applyFont="1" applyBorder="1" applyAlignment="1">
      <alignment vertical="center"/>
    </xf>
    <xf numFmtId="0" fontId="44" fillId="0" borderId="0" xfId="1" applyFont="1" applyAlignment="1">
      <alignment horizontal="center" vertical="center"/>
    </xf>
    <xf numFmtId="0" fontId="37" fillId="0" borderId="0" xfId="1" applyAlignment="1">
      <alignment horizontal="right"/>
    </xf>
    <xf numFmtId="0" fontId="40" fillId="0" borderId="0" xfId="1" applyFont="1" applyAlignment="1">
      <alignment horizontal="right"/>
    </xf>
    <xf numFmtId="0" fontId="42" fillId="0" borderId="0" xfId="1" applyFont="1" applyAlignment="1">
      <alignment horizontal="right"/>
    </xf>
    <xf numFmtId="0" fontId="37" fillId="0" borderId="0" xfId="1" applyFont="1" applyBorder="1" applyAlignment="1">
      <alignment horizontal="right"/>
    </xf>
    <xf numFmtId="0" fontId="37" fillId="0" borderId="0" xfId="1" applyBorder="1" applyAlignment="1">
      <alignment horizontal="right"/>
    </xf>
    <xf numFmtId="0" fontId="40" fillId="0" borderId="0" xfId="1" applyFont="1" applyBorder="1"/>
    <xf numFmtId="176" fontId="39" fillId="0" borderId="90" xfId="1" applyNumberFormat="1" applyFont="1" applyBorder="1" applyAlignment="1">
      <alignment vertical="center"/>
    </xf>
    <xf numFmtId="0" fontId="37" fillId="0" borderId="0" xfId="1" applyFont="1" applyAlignment="1">
      <alignment horizontal="left" vertical="center"/>
    </xf>
    <xf numFmtId="0" fontId="37" fillId="0" borderId="0" xfId="1" applyFont="1"/>
    <xf numFmtId="0" fontId="46" fillId="0" borderId="0" xfId="1" applyFont="1" applyAlignment="1">
      <alignment horizontal="center"/>
    </xf>
    <xf numFmtId="0" fontId="37" fillId="0" borderId="57" xfId="1" applyFont="1" applyBorder="1" applyAlignment="1">
      <alignment horizontal="center" vertical="center"/>
    </xf>
    <xf numFmtId="176" fontId="37" fillId="0" borderId="57" xfId="1" applyNumberFormat="1" applyFont="1" applyBorder="1" applyAlignment="1">
      <alignment horizontal="right" vertical="center"/>
    </xf>
    <xf numFmtId="176" fontId="37" fillId="0" borderId="72" xfId="1" applyNumberFormat="1" applyFont="1" applyBorder="1" applyAlignment="1">
      <alignment vertical="center"/>
    </xf>
    <xf numFmtId="0" fontId="37" fillId="0" borderId="0" xfId="1" applyFont="1" applyBorder="1" applyAlignment="1">
      <alignment horizontal="center" vertical="center"/>
    </xf>
    <xf numFmtId="0" fontId="37" fillId="0" borderId="63" xfId="1" applyFont="1" applyBorder="1" applyAlignment="1">
      <alignment horizontal="center" vertical="center"/>
    </xf>
    <xf numFmtId="176" fontId="37" fillId="0" borderId="63" xfId="1" applyNumberFormat="1" applyFont="1" applyBorder="1" applyAlignment="1">
      <alignment horizontal="right" vertical="center"/>
    </xf>
    <xf numFmtId="179" fontId="37" fillId="0" borderId="100" xfId="1" applyNumberFormat="1" applyFont="1" applyBorder="1" applyAlignment="1">
      <alignment vertical="center"/>
    </xf>
    <xf numFmtId="0" fontId="37" fillId="0" borderId="100" xfId="1" applyFont="1" applyBorder="1" applyAlignment="1">
      <alignment horizontal="center" vertical="center"/>
    </xf>
    <xf numFmtId="176" fontId="37" fillId="0" borderId="100" xfId="1" applyNumberFormat="1" applyFont="1" applyBorder="1" applyAlignment="1">
      <alignment vertical="center"/>
    </xf>
    <xf numFmtId="0" fontId="37" fillId="0" borderId="94" xfId="1" applyFont="1" applyBorder="1" applyAlignment="1">
      <alignment horizontal="centerContinuous" vertical="center"/>
    </xf>
    <xf numFmtId="0" fontId="37" fillId="0" borderId="76" xfId="1" applyFont="1" applyBorder="1" applyAlignment="1">
      <alignment horizontal="centerContinuous" vertical="center"/>
    </xf>
    <xf numFmtId="0" fontId="37" fillId="0" borderId="77" xfId="1" applyFont="1" applyBorder="1" applyAlignment="1">
      <alignment horizontal="centerContinuous" vertical="center"/>
    </xf>
    <xf numFmtId="179" fontId="37" fillId="0" borderId="95" xfId="1" applyNumberFormat="1" applyFont="1" applyBorder="1" applyAlignment="1">
      <alignment horizontal="center" vertical="center"/>
    </xf>
    <xf numFmtId="0" fontId="37" fillId="0" borderId="87" xfId="1" applyFont="1" applyBorder="1" applyAlignment="1">
      <alignment horizontal="center" vertical="center"/>
    </xf>
    <xf numFmtId="176" fontId="37" fillId="0" borderId="87" xfId="1" applyNumberFormat="1" applyFont="1" applyBorder="1" applyAlignment="1">
      <alignment horizontal="center" vertical="center"/>
    </xf>
    <xf numFmtId="176" fontId="37" fillId="0" borderId="88" xfId="1" applyNumberFormat="1" applyFont="1" applyBorder="1" applyAlignment="1">
      <alignment horizontal="center" vertical="center"/>
    </xf>
    <xf numFmtId="0" fontId="37" fillId="0" borderId="61" xfId="1" applyFont="1" applyBorder="1" applyAlignment="1">
      <alignment vertical="center"/>
    </xf>
    <xf numFmtId="0" fontId="37" fillId="0" borderId="55" xfId="1" applyFont="1" applyBorder="1" applyAlignment="1">
      <alignment vertical="center"/>
    </xf>
    <xf numFmtId="179" fontId="37" fillId="0" borderId="57" xfId="1" applyNumberFormat="1" applyFont="1" applyBorder="1" applyAlignment="1">
      <alignment vertical="center"/>
    </xf>
    <xf numFmtId="176" fontId="37" fillId="0" borderId="57" xfId="1" applyNumberFormat="1" applyFont="1" applyBorder="1" applyAlignment="1">
      <alignment vertical="center"/>
    </xf>
    <xf numFmtId="0" fontId="37" fillId="0" borderId="67" xfId="1" applyFont="1" applyBorder="1" applyAlignment="1">
      <alignment vertical="center"/>
    </xf>
    <xf numFmtId="0" fontId="37" fillId="0" borderId="65" xfId="1" applyFont="1" applyBorder="1" applyAlignment="1">
      <alignment vertical="center"/>
    </xf>
    <xf numFmtId="179" fontId="37" fillId="0" borderId="71" xfId="1" applyNumberFormat="1" applyFont="1" applyBorder="1" applyAlignment="1">
      <alignment vertical="center"/>
    </xf>
    <xf numFmtId="0" fontId="37" fillId="0" borderId="71" xfId="1" applyFont="1" applyBorder="1" applyAlignment="1">
      <alignment horizontal="center" vertical="center"/>
    </xf>
    <xf numFmtId="0" fontId="37" fillId="0" borderId="62" xfId="1" applyFont="1" applyBorder="1" applyAlignment="1">
      <alignment horizontal="right" vertical="center"/>
    </xf>
    <xf numFmtId="179" fontId="37" fillId="0" borderId="63" xfId="1" applyNumberFormat="1" applyFont="1" applyBorder="1" applyAlignment="1">
      <alignment vertical="center"/>
    </xf>
    <xf numFmtId="176" fontId="37" fillId="0" borderId="63" xfId="1" applyNumberFormat="1" applyFont="1" applyBorder="1" applyAlignment="1">
      <alignment vertical="center"/>
    </xf>
    <xf numFmtId="176" fontId="37" fillId="0" borderId="75" xfId="1" applyNumberFormat="1" applyFont="1" applyBorder="1" applyAlignment="1">
      <alignment vertical="center"/>
    </xf>
    <xf numFmtId="0" fontId="37" fillId="0" borderId="68" xfId="1" applyFont="1" applyBorder="1" applyAlignment="1">
      <alignment horizontal="right" vertical="center"/>
    </xf>
    <xf numFmtId="0" fontId="37" fillId="0" borderId="90" xfId="1" applyFont="1" applyBorder="1" applyAlignment="1">
      <alignment horizontal="center" vertical="center"/>
    </xf>
    <xf numFmtId="0" fontId="37" fillId="0" borderId="64" xfId="1" applyFont="1" applyBorder="1" applyAlignment="1">
      <alignment horizontal="center" vertical="center"/>
    </xf>
    <xf numFmtId="0" fontId="37" fillId="0" borderId="91" xfId="1" applyFont="1" applyBorder="1" applyAlignment="1">
      <alignment vertical="center"/>
    </xf>
    <xf numFmtId="0" fontId="37" fillId="0" borderId="0" xfId="1" applyFont="1" applyBorder="1" applyAlignment="1">
      <alignment vertical="center"/>
    </xf>
    <xf numFmtId="0" fontId="37" fillId="0" borderId="64" xfId="1" applyFont="1" applyBorder="1" applyAlignment="1">
      <alignment horizontal="right" vertical="center"/>
    </xf>
    <xf numFmtId="179" fontId="37" fillId="0" borderId="92" xfId="1" applyNumberFormat="1" applyFont="1" applyBorder="1" applyAlignment="1">
      <alignment vertical="center"/>
    </xf>
    <xf numFmtId="0" fontId="37" fillId="0" borderId="92" xfId="1" applyFont="1" applyBorder="1" applyAlignment="1">
      <alignment horizontal="center" vertical="center"/>
    </xf>
    <xf numFmtId="176" fontId="37" fillId="0" borderId="92" xfId="1" applyNumberFormat="1" applyFont="1" applyBorder="1" applyAlignment="1">
      <alignment vertical="center"/>
    </xf>
    <xf numFmtId="176" fontId="37" fillId="0" borderId="93" xfId="1" applyNumberFormat="1" applyFont="1" applyBorder="1" applyAlignment="1">
      <alignment vertical="center"/>
    </xf>
    <xf numFmtId="0" fontId="37" fillId="12" borderId="82" xfId="1" applyFont="1" applyFill="1" applyBorder="1" applyAlignment="1">
      <alignment vertical="center"/>
    </xf>
    <xf numFmtId="0" fontId="37" fillId="12" borderId="83" xfId="1" applyFont="1" applyFill="1" applyBorder="1" applyAlignment="1">
      <alignment vertical="center"/>
    </xf>
    <xf numFmtId="0" fontId="37" fillId="12" borderId="89" xfId="1" applyFont="1" applyFill="1" applyBorder="1" applyAlignment="1">
      <alignment horizontal="right" vertical="center"/>
    </xf>
    <xf numFmtId="179" fontId="37" fillId="0" borderId="73" xfId="1" applyNumberFormat="1" applyFont="1" applyBorder="1" applyAlignment="1">
      <alignment vertical="center"/>
    </xf>
    <xf numFmtId="0" fontId="37" fillId="0" borderId="73" xfId="1" applyFont="1" applyBorder="1" applyAlignment="1">
      <alignment horizontal="center" vertical="center"/>
    </xf>
    <xf numFmtId="176" fontId="37" fillId="0" borderId="73" xfId="1" applyNumberFormat="1" applyFont="1" applyBorder="1" applyAlignment="1">
      <alignment vertical="center"/>
    </xf>
    <xf numFmtId="183" fontId="40" fillId="0" borderId="74" xfId="1" applyNumberFormat="1" applyFont="1" applyBorder="1" applyAlignment="1">
      <alignment vertical="center"/>
    </xf>
    <xf numFmtId="0" fontId="37" fillId="0" borderId="53" xfId="1" applyFont="1" applyBorder="1" applyAlignment="1">
      <alignment vertical="center"/>
    </xf>
    <xf numFmtId="0" fontId="37" fillId="0" borderId="81" xfId="1" applyFont="1" applyBorder="1" applyAlignment="1">
      <alignment vertical="center"/>
    </xf>
    <xf numFmtId="0" fontId="37" fillId="0" borderId="84" xfId="1" applyFont="1" applyBorder="1" applyAlignment="1">
      <alignment vertical="center"/>
    </xf>
    <xf numFmtId="0" fontId="37" fillId="0" borderId="85" xfId="1" applyFont="1" applyBorder="1" applyAlignment="1">
      <alignment vertical="center"/>
    </xf>
    <xf numFmtId="176" fontId="37" fillId="0" borderId="86" xfId="1" applyNumberFormat="1" applyFont="1" applyBorder="1" applyAlignment="1">
      <alignment vertical="center"/>
    </xf>
    <xf numFmtId="0" fontId="37" fillId="0" borderId="96" xfId="1" applyFont="1" applyBorder="1" applyAlignment="1">
      <alignment horizontal="center" vertical="center"/>
    </xf>
    <xf numFmtId="0" fontId="37" fillId="0" borderId="68" xfId="1" applyFont="1" applyBorder="1" applyAlignment="1">
      <alignment horizontal="center" vertical="center"/>
    </xf>
    <xf numFmtId="0" fontId="0" fillId="0" borderId="0" xfId="0" applyFont="1" applyFill="1" applyAlignment="1"/>
    <xf numFmtId="0" fontId="13" fillId="0" borderId="15" xfId="0" applyFont="1" applyBorder="1"/>
    <xf numFmtId="0" fontId="40" fillId="0" borderId="0" xfId="1" applyFont="1" applyAlignment="1">
      <alignment horizontal="center"/>
    </xf>
    <xf numFmtId="176" fontId="41" fillId="0" borderId="0" xfId="1" applyNumberFormat="1" applyFont="1"/>
    <xf numFmtId="0" fontId="28" fillId="0" borderId="0" xfId="0" applyFont="1" applyAlignment="1">
      <alignment vertical="center" wrapText="1"/>
    </xf>
    <xf numFmtId="5" fontId="15" fillId="0" borderId="0" xfId="0" applyNumberFormat="1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181" fontId="15" fillId="0" borderId="5" xfId="0" applyNumberFormat="1" applyFont="1" applyFill="1" applyBorder="1" applyAlignment="1">
      <alignment horizontal="center" vertical="center"/>
    </xf>
    <xf numFmtId="181" fontId="15" fillId="0" borderId="6" xfId="0" applyNumberFormat="1" applyFont="1" applyFill="1" applyBorder="1" applyAlignment="1">
      <alignment horizontal="center" vertical="center"/>
    </xf>
    <xf numFmtId="181" fontId="15" fillId="0" borderId="2" xfId="0" applyNumberFormat="1" applyFont="1" applyFill="1" applyBorder="1" applyAlignment="1">
      <alignment horizontal="center" vertical="center"/>
    </xf>
    <xf numFmtId="181" fontId="15" fillId="0" borderId="14" xfId="0" applyNumberFormat="1" applyFont="1" applyFill="1" applyBorder="1" applyAlignment="1">
      <alignment horizontal="center" vertical="center"/>
    </xf>
    <xf numFmtId="187" fontId="15" fillId="15" borderId="5" xfId="0" applyNumberFormat="1" applyFont="1" applyFill="1" applyBorder="1" applyAlignment="1">
      <alignment horizontal="right" vertical="center"/>
    </xf>
    <xf numFmtId="187" fontId="15" fillId="16" borderId="5" xfId="0" applyNumberFormat="1" applyFont="1" applyFill="1" applyBorder="1" applyAlignment="1">
      <alignment horizontal="right" vertical="center"/>
    </xf>
    <xf numFmtId="187" fontId="15" fillId="16" borderId="14" xfId="0" applyNumberFormat="1" applyFont="1" applyFill="1" applyBorder="1" applyAlignment="1">
      <alignment horizontal="right" vertical="center"/>
    </xf>
    <xf numFmtId="187" fontId="15" fillId="3" borderId="15" xfId="0" applyNumberFormat="1" applyFont="1" applyFill="1" applyBorder="1" applyAlignment="1">
      <alignment horizontal="right" vertical="center"/>
    </xf>
    <xf numFmtId="187" fontId="15" fillId="15" borderId="110" xfId="0" applyNumberFormat="1" applyFont="1" applyFill="1" applyBorder="1" applyAlignment="1">
      <alignment horizontal="right" vertical="center"/>
    </xf>
    <xf numFmtId="181" fontId="15" fillId="16" borderId="5" xfId="0" applyNumberFormat="1" applyFont="1" applyFill="1" applyBorder="1" applyAlignment="1">
      <alignment horizontal="right" vertical="center"/>
    </xf>
    <xf numFmtId="181" fontId="15" fillId="16" borderId="23" xfId="0" applyNumberFormat="1" applyFont="1" applyFill="1" applyBorder="1" applyAlignment="1">
      <alignment horizontal="right" vertical="center"/>
    </xf>
    <xf numFmtId="181" fontId="15" fillId="16" borderId="14" xfId="0" applyNumberFormat="1" applyFont="1" applyFill="1" applyBorder="1" applyAlignment="1">
      <alignment horizontal="right" vertical="center"/>
    </xf>
    <xf numFmtId="181" fontId="15" fillId="16" borderId="6" xfId="0" applyNumberFormat="1" applyFont="1" applyFill="1" applyBorder="1" applyAlignment="1">
      <alignment horizontal="right" vertical="center"/>
    </xf>
    <xf numFmtId="181" fontId="15" fillId="3" borderId="15" xfId="0" applyNumberFormat="1" applyFont="1" applyFill="1" applyBorder="1" applyAlignment="1">
      <alignment horizontal="right" vertical="center"/>
    </xf>
    <xf numFmtId="181" fontId="15" fillId="3" borderId="25" xfId="0" applyNumberFormat="1" applyFont="1" applyFill="1" applyBorder="1" applyAlignment="1">
      <alignment horizontal="right" vertical="center"/>
    </xf>
    <xf numFmtId="181" fontId="15" fillId="16" borderId="110" xfId="0" applyNumberFormat="1" applyFont="1" applyFill="1" applyBorder="1" applyAlignment="1">
      <alignment horizontal="right" vertical="center"/>
    </xf>
    <xf numFmtId="0" fontId="13" fillId="0" borderId="113" xfId="0" applyFont="1" applyBorder="1" applyAlignment="1">
      <alignment horizontal="center" vertical="center"/>
    </xf>
    <xf numFmtId="0" fontId="13" fillId="0" borderId="114" xfId="0" applyFont="1" applyBorder="1" applyAlignment="1">
      <alignment horizontal="center" vertical="center"/>
    </xf>
    <xf numFmtId="0" fontId="13" fillId="0" borderId="115" xfId="0" applyFont="1" applyBorder="1" applyAlignment="1">
      <alignment horizontal="center" vertical="center"/>
    </xf>
    <xf numFmtId="176" fontId="13" fillId="0" borderId="75" xfId="0" applyNumberFormat="1" applyFont="1" applyBorder="1" applyAlignment="1">
      <alignment horizontal="right" vertical="center"/>
    </xf>
    <xf numFmtId="176" fontId="13" fillId="0" borderId="72" xfId="0" applyNumberFormat="1" applyFont="1" applyBorder="1" applyAlignment="1">
      <alignment horizontal="right" vertical="center"/>
    </xf>
    <xf numFmtId="176" fontId="13" fillId="0" borderId="74" xfId="0" applyNumberFormat="1" applyFont="1" applyBorder="1" applyAlignment="1">
      <alignment horizontal="right" vertical="center"/>
    </xf>
    <xf numFmtId="0" fontId="13" fillId="0" borderId="116" xfId="0" applyFont="1" applyBorder="1"/>
    <xf numFmtId="0" fontId="13" fillId="0" borderId="117" xfId="0" applyFont="1" applyBorder="1"/>
    <xf numFmtId="0" fontId="13" fillId="0" borderId="118" xfId="0" applyFont="1" applyBorder="1"/>
    <xf numFmtId="0" fontId="13" fillId="0" borderId="120" xfId="0" applyFont="1" applyBorder="1"/>
    <xf numFmtId="0" fontId="13" fillId="0" borderId="119" xfId="0" applyFont="1" applyBorder="1"/>
    <xf numFmtId="0" fontId="13" fillId="0" borderId="121" xfId="0" applyFont="1" applyBorder="1"/>
    <xf numFmtId="0" fontId="13" fillId="0" borderId="122" xfId="0" applyFont="1" applyBorder="1"/>
    <xf numFmtId="0" fontId="13" fillId="17" borderId="121" xfId="0" applyFont="1" applyFill="1" applyBorder="1" applyAlignment="1">
      <alignment horizontal="center" vertical="center"/>
    </xf>
    <xf numFmtId="0" fontId="13" fillId="17" borderId="122" xfId="0" applyFont="1" applyFill="1" applyBorder="1" applyAlignment="1">
      <alignment horizontal="center" vertical="center"/>
    </xf>
    <xf numFmtId="0" fontId="13" fillId="17" borderId="116" xfId="0" applyFont="1" applyFill="1" applyBorder="1" applyAlignment="1">
      <alignment horizontal="center" vertical="center"/>
    </xf>
    <xf numFmtId="0" fontId="13" fillId="17" borderId="117" xfId="0" applyFont="1" applyFill="1" applyBorder="1" applyAlignment="1">
      <alignment horizontal="center" vertical="center"/>
    </xf>
    <xf numFmtId="0" fontId="13" fillId="17" borderId="118" xfId="0" applyFont="1" applyFill="1" applyBorder="1" applyAlignment="1">
      <alignment horizontal="center" vertical="center"/>
    </xf>
    <xf numFmtId="0" fontId="13" fillId="17" borderId="119" xfId="0" applyFont="1" applyFill="1" applyBorder="1" applyAlignment="1">
      <alignment horizontal="center" vertical="center"/>
    </xf>
    <xf numFmtId="179" fontId="1" fillId="0" borderId="8" xfId="0" applyNumberFormat="1" applyFont="1" applyFill="1" applyBorder="1" applyAlignment="1">
      <alignment vertical="center" shrinkToFit="1"/>
    </xf>
    <xf numFmtId="0" fontId="1" fillId="0" borderId="5" xfId="0" applyFont="1" applyFill="1" applyBorder="1" applyAlignment="1">
      <alignment horizontal="center" vertical="center" shrinkToFit="1"/>
    </xf>
    <xf numFmtId="176" fontId="1" fillId="0" borderId="5" xfId="0" applyNumberFormat="1" applyFont="1" applyFill="1" applyBorder="1" applyAlignment="1">
      <alignment vertical="center" shrinkToFit="1"/>
    </xf>
    <xf numFmtId="176" fontId="1" fillId="0" borderId="27" xfId="0" applyNumberFormat="1" applyFont="1" applyFill="1" applyBorder="1" applyAlignment="1">
      <alignment vertical="center" shrinkToFit="1"/>
    </xf>
    <xf numFmtId="179" fontId="1" fillId="0" borderId="5" xfId="0" applyNumberFormat="1" applyFont="1" applyFill="1" applyBorder="1" applyAlignment="1">
      <alignment vertical="center" shrinkToFit="1"/>
    </xf>
    <xf numFmtId="0" fontId="48" fillId="0" borderId="0" xfId="0" applyFont="1" applyFill="1" applyAlignment="1">
      <alignment horizontal="center" vertical="center" shrinkToFit="1"/>
    </xf>
    <xf numFmtId="179" fontId="1" fillId="12" borderId="5" xfId="0" applyNumberFormat="1" applyFont="1" applyFill="1" applyBorder="1" applyAlignment="1">
      <alignment vertical="center" shrinkToFit="1"/>
    </xf>
    <xf numFmtId="0" fontId="1" fillId="12" borderId="5" xfId="0" applyFont="1" applyFill="1" applyBorder="1" applyAlignment="1">
      <alignment horizontal="center" vertical="center" shrinkToFit="1"/>
    </xf>
    <xf numFmtId="176" fontId="1" fillId="12" borderId="5" xfId="0" applyNumberFormat="1" applyFont="1" applyFill="1" applyBorder="1" applyAlignment="1">
      <alignment vertical="center" shrinkToFit="1"/>
    </xf>
    <xf numFmtId="176" fontId="1" fillId="12" borderId="27" xfId="0" applyNumberFormat="1" applyFont="1" applyFill="1" applyBorder="1" applyAlignment="1">
      <alignment vertical="center" shrinkToFit="1"/>
    </xf>
    <xf numFmtId="179" fontId="1" fillId="0" borderId="15" xfId="0" applyNumberFormat="1" applyFont="1" applyFill="1" applyBorder="1" applyAlignment="1">
      <alignment vertical="center" shrinkToFit="1"/>
    </xf>
    <xf numFmtId="0" fontId="1" fillId="0" borderId="15" xfId="0" applyFont="1" applyFill="1" applyBorder="1" applyAlignment="1">
      <alignment horizontal="center" vertical="center" shrinkToFit="1"/>
    </xf>
    <xf numFmtId="176" fontId="1" fillId="0" borderId="15" xfId="0" applyNumberFormat="1" applyFont="1" applyFill="1" applyBorder="1" applyAlignment="1">
      <alignment vertical="center" shrinkToFit="1"/>
    </xf>
    <xf numFmtId="0" fontId="1" fillId="0" borderId="12" xfId="0" applyFont="1" applyFill="1" applyBorder="1" applyAlignment="1">
      <alignment vertical="center" shrinkToFit="1"/>
    </xf>
    <xf numFmtId="0" fontId="1" fillId="0" borderId="11" xfId="0" applyFont="1" applyFill="1" applyBorder="1" applyAlignment="1">
      <alignment vertical="center" shrinkToFit="1"/>
    </xf>
    <xf numFmtId="0" fontId="1" fillId="0" borderId="13" xfId="0" applyFont="1" applyFill="1" applyBorder="1" applyAlignment="1">
      <alignment horizontal="right" vertical="center" shrinkToFit="1"/>
    </xf>
    <xf numFmtId="0" fontId="1" fillId="0" borderId="8" xfId="0" applyFont="1" applyFill="1" applyBorder="1" applyAlignment="1">
      <alignment horizontal="center" vertical="center" shrinkToFit="1"/>
    </xf>
    <xf numFmtId="176" fontId="1" fillId="0" borderId="8" xfId="0" applyNumberFormat="1" applyFont="1" applyFill="1" applyBorder="1" applyAlignment="1">
      <alignment vertical="center" shrinkToFit="1"/>
    </xf>
    <xf numFmtId="176" fontId="1" fillId="0" borderId="34" xfId="0" applyNumberFormat="1" applyFont="1" applyFill="1" applyBorder="1" applyAlignment="1">
      <alignment vertical="center" shrinkToFit="1"/>
    </xf>
    <xf numFmtId="0" fontId="1" fillId="0" borderId="32" xfId="0" applyFont="1" applyFill="1" applyBorder="1" applyAlignment="1">
      <alignment horizontal="center" vertical="center" shrinkToFit="1"/>
    </xf>
    <xf numFmtId="0" fontId="1" fillId="0" borderId="35" xfId="0" applyFont="1" applyFill="1" applyBorder="1" applyAlignment="1">
      <alignment horizontal="center" vertical="center" shrinkToFit="1"/>
    </xf>
    <xf numFmtId="0" fontId="1" fillId="0" borderId="36" xfId="0" applyFont="1" applyFill="1" applyBorder="1" applyAlignment="1">
      <alignment vertical="center" shrinkToFit="1"/>
    </xf>
    <xf numFmtId="0" fontId="1" fillId="0" borderId="0" xfId="0" applyFont="1" applyFill="1" applyAlignment="1">
      <alignment vertical="center" shrinkToFit="1"/>
    </xf>
    <xf numFmtId="0" fontId="1" fillId="0" borderId="35" xfId="0" applyFont="1" applyFill="1" applyBorder="1" applyAlignment="1">
      <alignment horizontal="right" vertical="center" shrinkToFit="1"/>
    </xf>
    <xf numFmtId="179" fontId="1" fillId="0" borderId="37" xfId="0" applyNumberFormat="1" applyFont="1" applyFill="1" applyBorder="1" applyAlignment="1">
      <alignment vertical="center" shrinkToFit="1"/>
    </xf>
    <xf numFmtId="0" fontId="1" fillId="0" borderId="37" xfId="0" applyFont="1" applyFill="1" applyBorder="1" applyAlignment="1">
      <alignment horizontal="center" vertical="center" shrinkToFit="1"/>
    </xf>
    <xf numFmtId="176" fontId="1" fillId="0" borderId="37" xfId="0" applyNumberFormat="1" applyFont="1" applyFill="1" applyBorder="1" applyAlignment="1">
      <alignment vertical="center" shrinkToFit="1"/>
    </xf>
    <xf numFmtId="176" fontId="1" fillId="0" borderId="38" xfId="0" applyNumberFormat="1" applyFont="1" applyFill="1" applyBorder="1" applyAlignment="1">
      <alignment vertical="center" shrinkToFit="1"/>
    </xf>
    <xf numFmtId="0" fontId="1" fillId="0" borderId="41" xfId="0" applyFont="1" applyFill="1" applyBorder="1" applyAlignment="1">
      <alignment vertical="center" shrinkToFit="1"/>
    </xf>
    <xf numFmtId="0" fontId="1" fillId="0" borderId="42" xfId="0" applyFont="1" applyFill="1" applyBorder="1" applyAlignment="1">
      <alignment vertical="center" shrinkToFit="1"/>
    </xf>
    <xf numFmtId="0" fontId="1" fillId="0" borderId="43" xfId="0" applyFont="1" applyFill="1" applyBorder="1" applyAlignment="1">
      <alignment horizontal="right" vertical="center" shrinkToFit="1"/>
    </xf>
    <xf numFmtId="179" fontId="1" fillId="0" borderId="44" xfId="0" applyNumberFormat="1" applyFont="1" applyFill="1" applyBorder="1" applyAlignment="1">
      <alignment vertical="center" shrinkToFit="1"/>
    </xf>
    <xf numFmtId="0" fontId="1" fillId="0" borderId="44" xfId="0" applyFont="1" applyFill="1" applyBorder="1" applyAlignment="1">
      <alignment horizontal="center" vertical="center" shrinkToFit="1"/>
    </xf>
    <xf numFmtId="176" fontId="1" fillId="0" borderId="44" xfId="0" applyNumberFormat="1" applyFont="1" applyFill="1" applyBorder="1" applyAlignment="1">
      <alignment vertical="center" shrinkToFit="1"/>
    </xf>
    <xf numFmtId="183" fontId="4" fillId="0" borderId="45" xfId="0" applyNumberFormat="1" applyFont="1" applyFill="1" applyBorder="1" applyAlignment="1">
      <alignment vertical="center" shrinkToFit="1"/>
    </xf>
    <xf numFmtId="0" fontId="1" fillId="0" borderId="46" xfId="0" applyFont="1" applyFill="1" applyBorder="1" applyAlignment="1">
      <alignment vertical="center" shrinkToFit="1"/>
    </xf>
    <xf numFmtId="0" fontId="1" fillId="0" borderId="47" xfId="0" applyFont="1" applyFill="1" applyBorder="1" applyAlignment="1">
      <alignment vertical="center" shrinkToFit="1"/>
    </xf>
    <xf numFmtId="0" fontId="1" fillId="0" borderId="51" xfId="0" applyFont="1" applyFill="1" applyBorder="1" applyAlignment="1">
      <alignment vertical="center" shrinkToFit="1"/>
    </xf>
    <xf numFmtId="0" fontId="1" fillId="0" borderId="50" xfId="0" applyFont="1" applyFill="1" applyBorder="1" applyAlignment="1">
      <alignment vertical="center" shrinkToFit="1"/>
    </xf>
    <xf numFmtId="176" fontId="1" fillId="0" borderId="52" xfId="0" applyNumberFormat="1" applyFont="1" applyFill="1" applyBorder="1" applyAlignment="1">
      <alignment vertical="center" shrinkToFit="1"/>
    </xf>
    <xf numFmtId="0" fontId="41" fillId="0" borderId="0" xfId="1" applyFont="1" applyAlignment="1">
      <alignment horizontal="center"/>
    </xf>
    <xf numFmtId="179" fontId="41" fillId="0" borderId="0" xfId="1" applyNumberFormat="1" applyFont="1" applyAlignment="1"/>
    <xf numFmtId="179" fontId="37" fillId="0" borderId="95" xfId="1" applyNumberFormat="1" applyFont="1" applyBorder="1" applyAlignment="1">
      <alignment vertical="center"/>
    </xf>
    <xf numFmtId="176" fontId="37" fillId="0" borderId="71" xfId="1" applyNumberFormat="1" applyFont="1" applyBorder="1" applyAlignment="1">
      <alignment horizontal="right" vertical="center"/>
    </xf>
    <xf numFmtId="176" fontId="37" fillId="0" borderId="72" xfId="1" applyNumberFormat="1" applyFont="1" applyBorder="1" applyAlignment="1">
      <alignment horizontal="right" vertical="center"/>
    </xf>
    <xf numFmtId="176" fontId="37" fillId="0" borderId="101" xfId="1" applyNumberFormat="1" applyFont="1" applyBorder="1" applyAlignment="1">
      <alignment horizontal="right" vertical="center"/>
    </xf>
    <xf numFmtId="176" fontId="37" fillId="0" borderId="109" xfId="1" applyNumberFormat="1" applyFont="1" applyBorder="1" applyAlignment="1">
      <alignment horizontal="right" vertical="center"/>
    </xf>
    <xf numFmtId="0" fontId="0" fillId="0" borderId="57" xfId="0" applyFont="1" applyBorder="1" applyAlignment="1">
      <alignment horizontal="left" vertical="center"/>
    </xf>
    <xf numFmtId="0" fontId="16" fillId="0" borderId="57" xfId="0" applyFont="1" applyBorder="1" applyAlignment="1">
      <alignment horizontal="left" vertical="center"/>
    </xf>
    <xf numFmtId="0" fontId="1" fillId="0" borderId="48" xfId="0" applyFon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shrinkToFit="1"/>
    </xf>
    <xf numFmtId="0" fontId="1" fillId="0" borderId="50" xfId="0" applyFont="1" applyFill="1" applyBorder="1" applyAlignment="1">
      <alignment shrinkToFit="1"/>
    </xf>
    <xf numFmtId="0" fontId="1" fillId="0" borderId="26" xfId="0" applyFont="1" applyFill="1" applyBorder="1" applyAlignment="1">
      <alignment horizontal="center" vertical="center" shrinkToFit="1"/>
    </xf>
    <xf numFmtId="0" fontId="1" fillId="0" borderId="4" xfId="0" applyFont="1" applyFill="1" applyBorder="1" applyAlignment="1">
      <alignment shrinkToFit="1"/>
    </xf>
    <xf numFmtId="0" fontId="1" fillId="0" borderId="2" xfId="0" applyFont="1" applyFill="1" applyBorder="1" applyAlignment="1">
      <alignment horizontal="left" vertical="center" shrinkToFit="1"/>
    </xf>
    <xf numFmtId="0" fontId="1" fillId="0" borderId="3" xfId="0" applyFont="1" applyFill="1" applyBorder="1" applyAlignment="1">
      <alignment horizontal="left" vertical="center" shrinkToFit="1"/>
    </xf>
    <xf numFmtId="0" fontId="1" fillId="0" borderId="4" xfId="0" applyFont="1" applyFill="1" applyBorder="1" applyAlignment="1">
      <alignment horizontal="left" vertical="center" shrinkToFit="1"/>
    </xf>
    <xf numFmtId="0" fontId="1" fillId="0" borderId="33" xfId="0" applyFont="1" applyFill="1" applyBorder="1" applyAlignment="1">
      <alignment horizontal="center" vertical="center" shrinkToFit="1"/>
    </xf>
    <xf numFmtId="0" fontId="1" fillId="0" borderId="13" xfId="0" applyFont="1" applyFill="1" applyBorder="1" applyAlignment="1">
      <alignment shrinkToFit="1"/>
    </xf>
    <xf numFmtId="0" fontId="1" fillId="0" borderId="39" xfId="0" applyFont="1" applyFill="1" applyBorder="1" applyAlignment="1">
      <alignment horizontal="center" vertical="center" shrinkToFit="1"/>
    </xf>
    <xf numFmtId="0" fontId="1" fillId="0" borderId="40" xfId="0" applyFont="1" applyFill="1" applyBorder="1" applyAlignment="1">
      <alignment shrinkToFit="1"/>
    </xf>
    <xf numFmtId="0" fontId="1" fillId="12" borderId="26" xfId="0" applyFont="1" applyFill="1" applyBorder="1" applyAlignment="1">
      <alignment horizontal="center" vertical="center" shrinkToFit="1"/>
    </xf>
    <xf numFmtId="0" fontId="1" fillId="12" borderId="4" xfId="0" applyFont="1" applyFill="1" applyBorder="1" applyAlignment="1">
      <alignment shrinkToFit="1"/>
    </xf>
    <xf numFmtId="0" fontId="10" fillId="0" borderId="16" xfId="0" applyFont="1" applyFill="1" applyBorder="1" applyAlignment="1">
      <alignment horizontal="center" vertical="center"/>
    </xf>
    <xf numFmtId="0" fontId="1" fillId="0" borderId="17" xfId="0" applyFont="1" applyFill="1" applyBorder="1"/>
    <xf numFmtId="0" fontId="10" fillId="0" borderId="18" xfId="0" applyFont="1" applyFill="1" applyBorder="1" applyAlignment="1">
      <alignment horizontal="center" vertical="center"/>
    </xf>
    <xf numFmtId="0" fontId="1" fillId="0" borderId="19" xfId="0" applyFont="1" applyFill="1" applyBorder="1"/>
    <xf numFmtId="0" fontId="1" fillId="0" borderId="20" xfId="0" applyFont="1" applyFill="1" applyBorder="1"/>
    <xf numFmtId="0" fontId="2" fillId="0" borderId="0" xfId="0" applyFont="1" applyFill="1" applyAlignment="1">
      <alignment horizontal="right"/>
    </xf>
    <xf numFmtId="0" fontId="0" fillId="0" borderId="0" xfId="0" applyFont="1" applyFill="1" applyAlignment="1"/>
    <xf numFmtId="0" fontId="6" fillId="0" borderId="0" xfId="0" applyFont="1" applyFill="1" applyAlignment="1">
      <alignment horizontal="center"/>
    </xf>
    <xf numFmtId="0" fontId="1" fillId="0" borderId="11" xfId="0" applyFont="1" applyFill="1" applyBorder="1"/>
    <xf numFmtId="5" fontId="6" fillId="0" borderId="0" xfId="0" applyNumberFormat="1" applyFont="1" applyFill="1" applyAlignment="1">
      <alignment horizontal="right"/>
    </xf>
    <xf numFmtId="0" fontId="6" fillId="0" borderId="0" xfId="0" applyFont="1" applyFill="1" applyAlignment="1">
      <alignment horizontal="left"/>
    </xf>
    <xf numFmtId="58" fontId="2" fillId="0" borderId="0" xfId="0" applyNumberFormat="1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5" fillId="0" borderId="11" xfId="0" applyFont="1" applyFill="1" applyBorder="1" applyAlignment="1">
      <alignment horizontal="right" vertical="center"/>
    </xf>
    <xf numFmtId="0" fontId="4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left" vertical="center"/>
    </xf>
    <xf numFmtId="0" fontId="0" fillId="0" borderId="67" xfId="0" applyFont="1" applyFill="1" applyBorder="1" applyAlignment="1">
      <alignment horizontal="left"/>
    </xf>
    <xf numFmtId="0" fontId="0" fillId="0" borderId="65" xfId="0" applyFont="1" applyFill="1" applyBorder="1" applyAlignment="1">
      <alignment horizontal="left"/>
    </xf>
    <xf numFmtId="0" fontId="0" fillId="0" borderId="68" xfId="0" applyFont="1" applyFill="1" applyBorder="1" applyAlignment="1">
      <alignment horizontal="left"/>
    </xf>
    <xf numFmtId="0" fontId="37" fillId="0" borderId="97" xfId="1" applyFont="1" applyBorder="1" applyAlignment="1">
      <alignment horizontal="right" vertical="center"/>
    </xf>
    <xf numFmtId="0" fontId="37" fillId="0" borderId="98" xfId="1" applyFont="1" applyBorder="1" applyAlignment="1">
      <alignment horizontal="right" vertical="center"/>
    </xf>
    <xf numFmtId="0" fontId="37" fillId="0" borderId="99" xfId="1" applyFont="1" applyBorder="1" applyAlignment="1">
      <alignment horizontal="right" vertical="center"/>
    </xf>
    <xf numFmtId="0" fontId="37" fillId="0" borderId="67" xfId="1" applyFont="1" applyBorder="1" applyAlignment="1">
      <alignment horizontal="left" vertical="center"/>
    </xf>
    <xf numFmtId="0" fontId="37" fillId="0" borderId="65" xfId="1" applyFont="1" applyBorder="1" applyAlignment="1">
      <alignment horizontal="left" vertical="center"/>
    </xf>
    <xf numFmtId="0" fontId="37" fillId="0" borderId="68" xfId="1" applyFont="1" applyBorder="1" applyAlignment="1">
      <alignment horizontal="left" vertical="center"/>
    </xf>
    <xf numFmtId="0" fontId="37" fillId="0" borderId="78" xfId="1" applyFont="1" applyBorder="1" applyAlignment="1">
      <alignment horizontal="left" vertical="center"/>
    </xf>
    <xf numFmtId="0" fontId="37" fillId="0" borderId="79" xfId="1" applyFont="1" applyBorder="1" applyAlignment="1">
      <alignment horizontal="left" vertical="center"/>
    </xf>
    <xf numFmtId="0" fontId="37" fillId="0" borderId="80" xfId="1" applyFont="1" applyBorder="1" applyAlignment="1">
      <alignment horizontal="left" vertical="center"/>
    </xf>
    <xf numFmtId="0" fontId="37" fillId="0" borderId="96" xfId="1" applyFont="1" applyBorder="1" applyAlignment="1">
      <alignment horizontal="center" vertical="center"/>
    </xf>
    <xf numFmtId="0" fontId="37" fillId="0" borderId="68" xfId="1" applyFont="1" applyBorder="1" applyAlignment="1">
      <alignment horizontal="center" vertical="center"/>
    </xf>
    <xf numFmtId="0" fontId="37" fillId="0" borderId="67" xfId="1" applyFont="1" applyBorder="1" applyAlignment="1">
      <alignment horizontal="left" vertical="center" shrinkToFit="1"/>
    </xf>
    <xf numFmtId="0" fontId="37" fillId="0" borderId="65" xfId="1" applyFont="1" applyBorder="1" applyAlignment="1">
      <alignment horizontal="left" vertical="center" shrinkToFit="1"/>
    </xf>
    <xf numFmtId="0" fontId="37" fillId="0" borderId="68" xfId="1" applyFont="1" applyBorder="1" applyAlignment="1">
      <alignment horizontal="left" vertical="center" shrinkToFit="1"/>
    </xf>
    <xf numFmtId="186" fontId="37" fillId="0" borderId="0" xfId="1" applyNumberFormat="1" applyAlignment="1">
      <alignment horizontal="right" vertical="center"/>
    </xf>
    <xf numFmtId="0" fontId="40" fillId="0" borderId="0" xfId="1" applyFont="1" applyAlignment="1">
      <alignment horizontal="right" vertical="center"/>
    </xf>
    <xf numFmtId="0" fontId="40" fillId="0" borderId="0" xfId="1" applyFont="1" applyAlignment="1">
      <alignment horizontal="left" vertical="center"/>
    </xf>
    <xf numFmtId="0" fontId="43" fillId="0" borderId="55" xfId="1" applyFont="1" applyBorder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37" fillId="0" borderId="0" xfId="1" applyFont="1" applyAlignment="1">
      <alignment horizontal="right"/>
    </xf>
    <xf numFmtId="5" fontId="45" fillId="0" borderId="0" xfId="1" applyNumberFormat="1" applyFont="1" applyBorder="1" applyAlignment="1">
      <alignment horizontal="right"/>
    </xf>
    <xf numFmtId="5" fontId="45" fillId="0" borderId="55" xfId="1" applyNumberFormat="1" applyFont="1" applyBorder="1" applyAlignment="1">
      <alignment horizontal="right"/>
    </xf>
    <xf numFmtId="0" fontId="45" fillId="0" borderId="0" xfId="1" applyFont="1" applyBorder="1" applyAlignment="1">
      <alignment horizontal="left"/>
    </xf>
    <xf numFmtId="0" fontId="45" fillId="0" borderId="55" xfId="1" applyFont="1" applyBorder="1" applyAlignment="1">
      <alignment horizontal="left"/>
    </xf>
    <xf numFmtId="0" fontId="37" fillId="0" borderId="96" xfId="1" applyFont="1" applyBorder="1" applyAlignment="1">
      <alignment horizontal="center" vertical="center" shrinkToFit="1"/>
    </xf>
    <xf numFmtId="0" fontId="37" fillId="0" borderId="68" xfId="1" applyFont="1" applyBorder="1" applyAlignment="1">
      <alignment horizontal="center" vertical="center" shrinkToFit="1"/>
    </xf>
    <xf numFmtId="0" fontId="45" fillId="0" borderId="0" xfId="1" applyFont="1" applyBorder="1" applyAlignment="1">
      <alignment horizontal="center"/>
    </xf>
    <xf numFmtId="0" fontId="45" fillId="0" borderId="55" xfId="1" applyFont="1" applyBorder="1" applyAlignment="1">
      <alignment horizontal="center"/>
    </xf>
    <xf numFmtId="0" fontId="37" fillId="0" borderId="0" xfId="1" applyAlignment="1">
      <alignment horizontal="right"/>
    </xf>
    <xf numFmtId="0" fontId="37" fillId="0" borderId="70" xfId="1" applyFont="1" applyBorder="1" applyAlignment="1">
      <alignment horizontal="center" vertical="center"/>
    </xf>
    <xf numFmtId="0" fontId="37" fillId="0" borderId="102" xfId="1" applyFont="1" applyBorder="1" applyAlignment="1">
      <alignment horizontal="center" vertical="center"/>
    </xf>
    <xf numFmtId="0" fontId="37" fillId="0" borderId="104" xfId="1" applyFont="1" applyBorder="1" applyAlignment="1">
      <alignment horizontal="center" vertical="center"/>
    </xf>
    <xf numFmtId="0" fontId="37" fillId="0" borderId="62" xfId="1" applyFont="1" applyBorder="1" applyAlignment="1">
      <alignment horizontal="center" vertical="center"/>
    </xf>
    <xf numFmtId="0" fontId="37" fillId="0" borderId="105" xfId="1" applyFont="1" applyBorder="1" applyAlignment="1">
      <alignment horizontal="center" vertical="center"/>
    </xf>
    <xf numFmtId="0" fontId="37" fillId="0" borderId="106" xfId="1" applyFont="1" applyBorder="1" applyAlignment="1">
      <alignment horizontal="center" vertical="center"/>
    </xf>
    <xf numFmtId="0" fontId="37" fillId="0" borderId="85" xfId="1" applyFont="1" applyBorder="1" applyAlignment="1">
      <alignment horizontal="center" vertical="center"/>
    </xf>
    <xf numFmtId="0" fontId="37" fillId="0" borderId="107" xfId="1" applyFont="1" applyBorder="1" applyAlignment="1">
      <alignment horizontal="center" vertical="center"/>
    </xf>
    <xf numFmtId="0" fontId="37" fillId="0" borderId="89" xfId="1" applyFont="1" applyBorder="1" applyAlignment="1">
      <alignment horizontal="center" vertical="center"/>
    </xf>
    <xf numFmtId="0" fontId="37" fillId="0" borderId="103" xfId="1" applyFont="1" applyBorder="1" applyAlignment="1">
      <alignment horizontal="center" vertical="center"/>
    </xf>
    <xf numFmtId="0" fontId="37" fillId="0" borderId="80" xfId="1" applyFont="1" applyBorder="1" applyAlignment="1">
      <alignment horizontal="center" vertical="center"/>
    </xf>
    <xf numFmtId="0" fontId="37" fillId="0" borderId="108" xfId="1" applyFont="1" applyBorder="1" applyAlignment="1">
      <alignment horizontal="center" vertical="center"/>
    </xf>
    <xf numFmtId="0" fontId="37" fillId="0" borderId="99" xfId="1" applyFont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15" fillId="3" borderId="6" xfId="0" applyFont="1" applyFill="1" applyBorder="1" applyAlignment="1">
      <alignment horizontal="center" vertical="center"/>
    </xf>
    <xf numFmtId="0" fontId="15" fillId="0" borderId="8" xfId="0" applyFont="1" applyBorder="1"/>
    <xf numFmtId="5" fontId="15" fillId="3" borderId="6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176" fontId="15" fillId="17" borderId="6" xfId="0" applyNumberFormat="1" applyFont="1" applyFill="1" applyBorder="1" applyAlignment="1">
      <alignment horizontal="center" vertical="center"/>
    </xf>
    <xf numFmtId="0" fontId="15" fillId="17" borderId="8" xfId="0" applyFont="1" applyFill="1" applyBorder="1"/>
    <xf numFmtId="0" fontId="47" fillId="0" borderId="0" xfId="0" applyFont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/>
    <xf numFmtId="0" fontId="33" fillId="12" borderId="67" xfId="0" applyFont="1" applyFill="1" applyBorder="1" applyAlignment="1">
      <alignment horizontal="center" vertical="center"/>
    </xf>
    <xf numFmtId="0" fontId="33" fillId="12" borderId="65" xfId="0" applyFont="1" applyFill="1" applyBorder="1" applyAlignment="1">
      <alignment horizontal="center" vertical="center"/>
    </xf>
    <xf numFmtId="0" fontId="33" fillId="12" borderId="68" xfId="0" applyFont="1" applyFill="1" applyBorder="1" applyAlignment="1">
      <alignment horizontal="center" vertical="center"/>
    </xf>
    <xf numFmtId="176" fontId="15" fillId="0" borderId="6" xfId="0" applyNumberFormat="1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0" fontId="13" fillId="17" borderId="123" xfId="0" applyFont="1" applyFill="1" applyBorder="1" applyAlignment="1">
      <alignment horizontal="center" vertical="center"/>
    </xf>
    <xf numFmtId="0" fontId="13" fillId="17" borderId="124" xfId="0" applyFont="1" applyFill="1" applyBorder="1"/>
    <xf numFmtId="0" fontId="13" fillId="0" borderId="123" xfId="0" applyFont="1" applyBorder="1" applyAlignment="1">
      <alignment horizontal="center" vertical="center"/>
    </xf>
    <xf numFmtId="0" fontId="13" fillId="0" borderId="125" xfId="0" applyFont="1" applyBorder="1"/>
    <xf numFmtId="0" fontId="13" fillId="0" borderId="124" xfId="0" applyFont="1" applyBorder="1"/>
    <xf numFmtId="0" fontId="14" fillId="0" borderId="0" xfId="0" applyFont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3" fillId="0" borderId="9" xfId="0" applyFont="1" applyBorder="1"/>
    <xf numFmtId="0" fontId="13" fillId="0" borderId="10" xfId="0" applyFont="1" applyBorder="1"/>
    <xf numFmtId="0" fontId="13" fillId="0" borderId="12" xfId="0" applyFont="1" applyBorder="1"/>
    <xf numFmtId="0" fontId="13" fillId="0" borderId="11" xfId="0" applyFont="1" applyBorder="1"/>
    <xf numFmtId="0" fontId="13" fillId="0" borderId="13" xfId="0" applyFont="1" applyBorder="1"/>
    <xf numFmtId="0" fontId="13" fillId="10" borderId="23" xfId="0" applyFont="1" applyFill="1" applyBorder="1" applyAlignment="1">
      <alignment horizontal="center" vertical="center"/>
    </xf>
    <xf numFmtId="0" fontId="13" fillId="11" borderId="15" xfId="0" applyFont="1" applyFill="1" applyBorder="1"/>
    <xf numFmtId="0" fontId="13" fillId="5" borderId="23" xfId="0" applyFont="1" applyFill="1" applyBorder="1" applyAlignment="1">
      <alignment horizontal="center" vertical="center"/>
    </xf>
    <xf numFmtId="0" fontId="13" fillId="0" borderId="15" xfId="0" applyFont="1" applyBorder="1"/>
    <xf numFmtId="0" fontId="30" fillId="0" borderId="69" xfId="0" applyFont="1" applyBorder="1" applyAlignment="1">
      <alignment horizontal="left" vertical="center"/>
    </xf>
    <xf numFmtId="0" fontId="20" fillId="0" borderId="57" xfId="0" applyFont="1" applyBorder="1" applyAlignment="1">
      <alignment horizontal="center" vertical="center"/>
    </xf>
    <xf numFmtId="0" fontId="20" fillId="0" borderId="60" xfId="0" applyFont="1" applyBorder="1" applyAlignment="1">
      <alignment horizontal="center" vertical="center"/>
    </xf>
    <xf numFmtId="5" fontId="22" fillId="0" borderId="58" xfId="0" applyNumberFormat="1" applyFont="1" applyBorder="1" applyAlignment="1">
      <alignment horizontal="center" vertical="center"/>
    </xf>
    <xf numFmtId="5" fontId="22" fillId="0" borderId="59" xfId="0" applyNumberFormat="1" applyFont="1" applyBorder="1" applyAlignment="1">
      <alignment horizontal="center" vertical="center"/>
    </xf>
    <xf numFmtId="5" fontId="22" fillId="0" borderId="61" xfId="0" applyNumberFormat="1" applyFont="1" applyBorder="1" applyAlignment="1">
      <alignment horizontal="center" vertical="center"/>
    </xf>
    <xf numFmtId="5" fontId="22" fillId="0" borderId="62" xfId="0" applyNumberFormat="1" applyFont="1" applyBorder="1" applyAlignment="1">
      <alignment horizontal="center" vertical="center"/>
    </xf>
    <xf numFmtId="183" fontId="21" fillId="0" borderId="60" xfId="0" applyNumberFormat="1" applyFont="1" applyBorder="1" applyAlignment="1">
      <alignment horizontal="center" vertical="center"/>
    </xf>
    <xf numFmtId="183" fontId="21" fillId="0" borderId="63" xfId="0" applyNumberFormat="1" applyFont="1" applyBorder="1" applyAlignment="1">
      <alignment horizontal="center" vertical="center"/>
    </xf>
    <xf numFmtId="176" fontId="22" fillId="0" borderId="58" xfId="0" applyNumberFormat="1" applyFont="1" applyBorder="1" applyAlignment="1">
      <alignment horizontal="right" vertical="center"/>
    </xf>
    <xf numFmtId="176" fontId="22" fillId="0" borderId="59" xfId="0" applyNumberFormat="1" applyFont="1" applyBorder="1" applyAlignment="1">
      <alignment horizontal="right" vertical="center"/>
    </xf>
    <xf numFmtId="176" fontId="22" fillId="0" borderId="61" xfId="0" applyNumberFormat="1" applyFont="1" applyBorder="1" applyAlignment="1">
      <alignment horizontal="right" vertical="center"/>
    </xf>
    <xf numFmtId="176" fontId="22" fillId="0" borderId="64" xfId="0" applyNumberFormat="1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184" fontId="21" fillId="0" borderId="0" xfId="0" applyNumberFormat="1" applyFont="1" applyAlignment="1">
      <alignment horizontal="right" vertical="center"/>
    </xf>
    <xf numFmtId="0" fontId="23" fillId="0" borderId="5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56" xfId="0" applyFont="1" applyBorder="1" applyAlignment="1">
      <alignment horizontal="center" vertical="center"/>
    </xf>
    <xf numFmtId="0" fontId="21" fillId="0" borderId="67" xfId="0" applyFont="1" applyBorder="1" applyAlignment="1">
      <alignment horizontal="center" vertical="center"/>
    </xf>
    <xf numFmtId="0" fontId="21" fillId="0" borderId="65" xfId="0" applyFont="1" applyBorder="1" applyAlignment="1">
      <alignment horizontal="center" vertical="center"/>
    </xf>
    <xf numFmtId="0" fontId="21" fillId="0" borderId="68" xfId="0" applyFont="1" applyBorder="1" applyAlignment="1">
      <alignment horizontal="center" vertical="center"/>
    </xf>
    <xf numFmtId="0" fontId="21" fillId="0" borderId="57" xfId="0" applyFont="1" applyBorder="1" applyAlignment="1">
      <alignment horizontal="center" vertical="center"/>
    </xf>
    <xf numFmtId="0" fontId="21" fillId="0" borderId="67" xfId="0" applyFont="1" applyBorder="1" applyAlignment="1">
      <alignment horizontal="left" vertical="center"/>
    </xf>
    <xf numFmtId="0" fontId="21" fillId="0" borderId="65" xfId="0" applyFont="1" applyBorder="1" applyAlignment="1">
      <alignment horizontal="left" vertical="center"/>
    </xf>
    <xf numFmtId="0" fontId="21" fillId="0" borderId="68" xfId="0" applyFont="1" applyBorder="1" applyAlignment="1">
      <alignment horizontal="left" vertical="center"/>
    </xf>
    <xf numFmtId="176" fontId="21" fillId="0" borderId="67" xfId="0" applyNumberFormat="1" applyFont="1" applyBorder="1" applyAlignment="1">
      <alignment horizontal="right" vertical="center"/>
    </xf>
    <xf numFmtId="176" fontId="21" fillId="0" borderId="68" xfId="0" applyNumberFormat="1" applyFont="1" applyBorder="1" applyAlignment="1">
      <alignment horizontal="right" vertical="center"/>
    </xf>
    <xf numFmtId="0" fontId="21" fillId="0" borderId="67" xfId="0" applyFont="1" applyBorder="1" applyAlignment="1">
      <alignment vertical="center"/>
    </xf>
    <xf numFmtId="0" fontId="21" fillId="0" borderId="65" xfId="0" applyFont="1" applyBorder="1" applyAlignment="1">
      <alignment vertical="center"/>
    </xf>
    <xf numFmtId="0" fontId="21" fillId="0" borderId="68" xfId="0" applyFont="1" applyBorder="1" applyAlignment="1">
      <alignment vertical="center"/>
    </xf>
    <xf numFmtId="0" fontId="22" fillId="0" borderId="67" xfId="0" applyFont="1" applyBorder="1" applyAlignment="1">
      <alignment horizontal="center" vertical="center"/>
    </xf>
    <xf numFmtId="0" fontId="22" fillId="0" borderId="65" xfId="0" applyFont="1" applyBorder="1" applyAlignment="1">
      <alignment horizontal="center" vertical="center"/>
    </xf>
    <xf numFmtId="0" fontId="22" fillId="0" borderId="68" xfId="0" applyFont="1" applyBorder="1" applyAlignment="1">
      <alignment horizontal="center" vertical="center"/>
    </xf>
    <xf numFmtId="176" fontId="21" fillId="0" borderId="57" xfId="0" applyNumberFormat="1" applyFont="1" applyBorder="1" applyAlignment="1">
      <alignment horizontal="right" vertical="center"/>
    </xf>
    <xf numFmtId="0" fontId="26" fillId="0" borderId="67" xfId="0" applyFont="1" applyBorder="1" applyAlignment="1">
      <alignment vertical="center"/>
    </xf>
    <xf numFmtId="0" fontId="26" fillId="0" borderId="65" xfId="0" applyFont="1" applyBorder="1" applyAlignment="1">
      <alignment vertical="center"/>
    </xf>
    <xf numFmtId="0" fontId="26" fillId="0" borderId="68" xfId="0" applyFont="1" applyBorder="1" applyAlignment="1">
      <alignment vertical="center"/>
    </xf>
  </cellXfs>
  <cellStyles count="2">
    <cellStyle name="標準" xfId="0" builtinId="0"/>
    <cellStyle name="標準 2" xfId="1" xr:uid="{135AE047-BA69-4D71-9276-D8FB93DC1E6D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MS PGothic"/>
        <scheme val="none"/>
      </font>
      <numFmt numFmtId="9" formatCode="&quot;¥&quot;#,##0;&quot;¥&quot;\-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MS PGothic"/>
        <family val="3"/>
        <charset val="12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MS PGothic"/>
        <family val="3"/>
        <charset val="12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MS PGothic"/>
        <family val="3"/>
        <charset val="128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201930</xdr:colOff>
      <xdr:row>4</xdr:row>
      <xdr:rowOff>97155</xdr:rowOff>
    </xdr:from>
    <xdr:ext cx="1704975" cy="3905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33850" y="752475"/>
          <a:ext cx="1704975" cy="3905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201930</xdr:colOff>
      <xdr:row>4</xdr:row>
      <xdr:rowOff>97155</xdr:rowOff>
    </xdr:from>
    <xdr:ext cx="1704975" cy="3905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33850" y="752475"/>
          <a:ext cx="1704975" cy="3905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2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コピーを作成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2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コピーを作成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2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ボタン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2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ボタン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2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ボタン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2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コピーを作成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コピーを作成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コピーを作成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3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ボタン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3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ボタン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3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ボタン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9</xdr:col>
          <xdr:colOff>1009650</xdr:colOff>
          <xdr:row>0</xdr:row>
          <xdr:rowOff>447675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3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コピーを作成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3467100</xdr:colOff>
      <xdr:row>0</xdr:row>
      <xdr:rowOff>68580</xdr:rowOff>
    </xdr:from>
    <xdr:to>
      <xdr:col>2</xdr:col>
      <xdr:colOff>1109056</xdr:colOff>
      <xdr:row>0</xdr:row>
      <xdr:rowOff>455122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2080" y="68580"/>
          <a:ext cx="1741516" cy="3865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3467100</xdr:colOff>
      <xdr:row>0</xdr:row>
      <xdr:rowOff>68580</xdr:rowOff>
    </xdr:from>
    <xdr:to>
      <xdr:col>2</xdr:col>
      <xdr:colOff>1109056</xdr:colOff>
      <xdr:row>0</xdr:row>
      <xdr:rowOff>455122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2080" y="68580"/>
          <a:ext cx="1741516" cy="38654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41679A-168B-4A5D-A0C9-942E47CD56B7}" name="テーブル1" displayName="テーブル1" ref="A2:F7" totalsRowShown="0" headerRowDxfId="3">
  <autoFilter ref="A2:F7" xr:uid="{8CB39268-5B55-449A-8C6D-AD7F62F3A2FB}"/>
  <tableColumns count="6">
    <tableColumn id="6" xr3:uid="{E9118031-893F-44CE-BAEF-33392312B1F6}" name="仕入れ" dataDxfId="2"/>
    <tableColumn id="1" xr3:uid="{451B2A72-A93D-490B-B088-3C1923191E46}" name="メーカー" dataDxfId="1"/>
    <tableColumn id="2" xr3:uid="{0B964DEA-ACA9-42C6-B562-A33FC4700ECB}" name="商品名"/>
    <tableColumn id="3" xr3:uid="{380E03BD-7216-4B26-BCFC-19C9064D6648}" name="単価"/>
    <tableColumn id="4" xr3:uid="{B7B31D58-5E2E-4D98-A408-3426811F34AF}" name="個数"/>
    <tableColumn id="5" xr3:uid="{DC86AEB2-2FE6-430E-9240-F204F1B8596B}" name="金額" dataDxfId="0">
      <calculatedColumnFormula>+D3*E3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3FE57-1369-4585-89FE-4956CC80A31D}">
  <sheetPr codeName="Sheet2">
    <tabColor rgb="FFFF0000"/>
  </sheetPr>
  <dimension ref="A1:O998"/>
  <sheetViews>
    <sheetView showZeros="0" workbookViewId="0">
      <selection activeCell="B5" sqref="B5:E5"/>
    </sheetView>
  </sheetViews>
  <sheetFormatPr defaultColWidth="12.625" defaultRowHeight="15" customHeight="1"/>
  <cols>
    <col min="1" max="1" width="1.125" style="92" customWidth="1"/>
    <col min="2" max="2" width="8" style="92" customWidth="1"/>
    <col min="3" max="3" width="10.125" style="92" customWidth="1"/>
    <col min="4" max="7" width="7.75" style="92" customWidth="1"/>
    <col min="8" max="8" width="7" style="92" customWidth="1"/>
    <col min="9" max="9" width="5.25" style="92" customWidth="1"/>
    <col min="10" max="10" width="10.125" style="92" customWidth="1"/>
    <col min="11" max="11" width="12.75" style="92" customWidth="1"/>
    <col min="12" max="15" width="8" style="92" customWidth="1"/>
    <col min="16" max="26" width="14.375" style="92" customWidth="1"/>
    <col min="27" max="16384" width="12.625" style="92"/>
  </cols>
  <sheetData>
    <row r="1" spans="1:15" ht="13.5">
      <c r="B1" s="93"/>
      <c r="I1" s="29"/>
      <c r="J1" s="349">
        <f ca="1">TODAY()</f>
        <v>44237</v>
      </c>
      <c r="K1" s="344"/>
    </row>
    <row r="2" spans="1:15" ht="4.5" customHeight="1">
      <c r="B2" s="93"/>
    </row>
    <row r="3" spans="1:15" ht="30" customHeight="1">
      <c r="A3" s="350" t="s">
        <v>10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</row>
    <row r="4" spans="1:15" ht="4.5" customHeight="1">
      <c r="B4" s="93"/>
      <c r="D4" s="91"/>
      <c r="E4" s="91"/>
      <c r="F4" s="91"/>
      <c r="G4" s="91"/>
      <c r="H4" s="91"/>
    </row>
    <row r="5" spans="1:15" ht="30" customHeight="1">
      <c r="A5" s="31"/>
      <c r="B5" s="351"/>
      <c r="C5" s="346"/>
      <c r="D5" s="346"/>
      <c r="E5" s="346"/>
      <c r="F5" s="32" t="s">
        <v>15</v>
      </c>
      <c r="G5" s="33"/>
      <c r="H5" s="33"/>
      <c r="I5" s="33"/>
      <c r="J5" s="33"/>
      <c r="K5" s="33"/>
    </row>
    <row r="6" spans="1:15" ht="4.5" customHeight="1">
      <c r="A6" s="33"/>
      <c r="B6" s="34"/>
      <c r="C6" s="33"/>
      <c r="D6" s="33"/>
      <c r="E6" s="33"/>
      <c r="F6" s="33"/>
      <c r="G6" s="33"/>
      <c r="H6" s="33"/>
      <c r="I6" s="33"/>
      <c r="J6" s="33"/>
      <c r="K6" s="33"/>
    </row>
    <row r="7" spans="1:15" ht="12.75" customHeight="1">
      <c r="A7" s="33"/>
      <c r="B7" s="352"/>
      <c r="C7" s="353"/>
      <c r="D7" s="344"/>
      <c r="E7" s="344"/>
      <c r="F7" s="344"/>
      <c r="G7" s="344"/>
      <c r="H7" s="33"/>
      <c r="I7" s="343"/>
      <c r="J7" s="344"/>
      <c r="K7" s="344"/>
    </row>
    <row r="8" spans="1:15" ht="12.75" customHeight="1">
      <c r="A8" s="33"/>
      <c r="B8" s="344"/>
      <c r="C8" s="344"/>
      <c r="D8" s="344"/>
      <c r="E8" s="344"/>
      <c r="F8" s="344"/>
      <c r="G8" s="344"/>
      <c r="H8" s="33"/>
      <c r="I8" s="343" t="s">
        <v>26</v>
      </c>
      <c r="J8" s="344"/>
      <c r="K8" s="344"/>
    </row>
    <row r="9" spans="1:15" ht="12.75" customHeight="1">
      <c r="A9" s="33"/>
      <c r="B9" s="34"/>
      <c r="C9" s="33"/>
      <c r="D9" s="33"/>
      <c r="E9" s="33"/>
      <c r="F9" s="33"/>
      <c r="G9" s="33"/>
      <c r="H9" s="33"/>
      <c r="I9" s="343" t="s">
        <v>27</v>
      </c>
      <c r="J9" s="344"/>
      <c r="K9" s="344"/>
    </row>
    <row r="10" spans="1:15" ht="12.75" customHeight="1">
      <c r="A10" s="33"/>
      <c r="B10" s="345" t="s">
        <v>28</v>
      </c>
      <c r="C10" s="347">
        <f>K45</f>
        <v>0</v>
      </c>
      <c r="D10" s="344"/>
      <c r="E10" s="348" t="s">
        <v>29</v>
      </c>
      <c r="F10" s="33"/>
      <c r="G10" s="33"/>
      <c r="H10" s="33"/>
      <c r="I10" s="343" t="s">
        <v>32</v>
      </c>
      <c r="J10" s="344"/>
      <c r="K10" s="344"/>
    </row>
    <row r="11" spans="1:15" ht="12.75" customHeight="1">
      <c r="A11" s="33"/>
      <c r="B11" s="346"/>
      <c r="C11" s="346"/>
      <c r="D11" s="346"/>
      <c r="E11" s="346"/>
      <c r="F11" s="33"/>
      <c r="G11" s="33"/>
      <c r="H11" s="33"/>
      <c r="I11" s="343" t="s">
        <v>33</v>
      </c>
      <c r="J11" s="344"/>
      <c r="K11" s="344"/>
    </row>
    <row r="12" spans="1:15" thickBot="1">
      <c r="A12" s="35"/>
      <c r="B12" s="36"/>
      <c r="C12" s="37"/>
      <c r="D12" s="37"/>
      <c r="E12" s="37"/>
      <c r="F12" s="37"/>
      <c r="G12" s="37"/>
      <c r="H12" s="38"/>
      <c r="I12" s="39"/>
      <c r="J12" s="40"/>
      <c r="K12" s="40"/>
      <c r="L12" s="41"/>
      <c r="M12" s="41"/>
      <c r="N12" s="41"/>
    </row>
    <row r="13" spans="1:15" ht="18" customHeight="1">
      <c r="A13" s="42"/>
      <c r="B13" s="338" t="s">
        <v>39</v>
      </c>
      <c r="C13" s="339"/>
      <c r="D13" s="340" t="s">
        <v>40</v>
      </c>
      <c r="E13" s="341"/>
      <c r="F13" s="341"/>
      <c r="G13" s="342"/>
      <c r="H13" s="43" t="s">
        <v>43</v>
      </c>
      <c r="I13" s="44" t="s">
        <v>5</v>
      </c>
      <c r="J13" s="45" t="s">
        <v>35</v>
      </c>
      <c r="K13" s="46" t="s">
        <v>28</v>
      </c>
      <c r="L13" s="47"/>
      <c r="M13" s="47"/>
      <c r="N13" s="47"/>
      <c r="O13" s="48"/>
    </row>
    <row r="14" spans="1:15" ht="18" customHeight="1">
      <c r="A14" s="42"/>
      <c r="B14" s="327"/>
      <c r="C14" s="328"/>
      <c r="D14" s="329"/>
      <c r="E14" s="330"/>
      <c r="F14" s="330"/>
      <c r="G14" s="331"/>
      <c r="H14" s="275"/>
      <c r="I14" s="276"/>
      <c r="J14" s="277"/>
      <c r="K14" s="278">
        <f t="shared" ref="K14:K41" si="0">(H14*J14)</f>
        <v>0</v>
      </c>
      <c r="L14" s="49"/>
      <c r="M14" s="49"/>
      <c r="N14" s="49"/>
      <c r="O14" s="50"/>
    </row>
    <row r="15" spans="1:15" ht="18" customHeight="1">
      <c r="A15" s="42"/>
      <c r="B15" s="327"/>
      <c r="C15" s="328"/>
      <c r="D15" s="329"/>
      <c r="E15" s="330"/>
      <c r="F15" s="330"/>
      <c r="G15" s="331"/>
      <c r="H15" s="279"/>
      <c r="I15" s="276"/>
      <c r="J15" s="277"/>
      <c r="K15" s="278">
        <f t="shared" si="0"/>
        <v>0</v>
      </c>
      <c r="L15" s="49"/>
      <c r="M15" s="47"/>
      <c r="N15" s="49"/>
      <c r="O15" s="50"/>
    </row>
    <row r="16" spans="1:15" ht="18" customHeight="1">
      <c r="A16" s="42"/>
      <c r="B16" s="327"/>
      <c r="C16" s="328"/>
      <c r="D16" s="329"/>
      <c r="E16" s="330"/>
      <c r="F16" s="330"/>
      <c r="G16" s="331"/>
      <c r="H16" s="279"/>
      <c r="I16" s="276"/>
      <c r="J16" s="277"/>
      <c r="K16" s="278">
        <f t="shared" si="0"/>
        <v>0</v>
      </c>
      <c r="L16" s="49"/>
      <c r="M16" s="47"/>
      <c r="N16" s="49"/>
      <c r="O16" s="50"/>
    </row>
    <row r="17" spans="1:15" ht="18" customHeight="1">
      <c r="A17" s="42"/>
      <c r="B17" s="327"/>
      <c r="C17" s="328"/>
      <c r="D17" s="329"/>
      <c r="E17" s="330"/>
      <c r="F17" s="330"/>
      <c r="G17" s="331"/>
      <c r="H17" s="279"/>
      <c r="I17" s="276"/>
      <c r="J17" s="277"/>
      <c r="K17" s="278">
        <f t="shared" si="0"/>
        <v>0</v>
      </c>
      <c r="L17" s="49"/>
      <c r="M17" s="47"/>
      <c r="N17" s="49"/>
      <c r="O17" s="50"/>
    </row>
    <row r="18" spans="1:15" ht="18" customHeight="1">
      <c r="A18" s="42"/>
      <c r="B18" s="327"/>
      <c r="C18" s="328"/>
      <c r="D18" s="329"/>
      <c r="E18" s="330"/>
      <c r="F18" s="330"/>
      <c r="G18" s="331"/>
      <c r="H18" s="279"/>
      <c r="I18" s="276"/>
      <c r="J18" s="277"/>
      <c r="K18" s="278">
        <f>(H18*J18)</f>
        <v>0</v>
      </c>
      <c r="L18" s="49"/>
      <c r="M18" s="47"/>
      <c r="N18" s="49"/>
      <c r="O18" s="50"/>
    </row>
    <row r="19" spans="1:15" ht="18" customHeight="1">
      <c r="A19" s="42"/>
      <c r="B19" s="327"/>
      <c r="C19" s="328"/>
      <c r="D19" s="329"/>
      <c r="E19" s="330"/>
      <c r="F19" s="330"/>
      <c r="G19" s="331"/>
      <c r="H19" s="279"/>
      <c r="I19" s="276"/>
      <c r="J19" s="277"/>
      <c r="K19" s="278">
        <f t="shared" si="0"/>
        <v>0</v>
      </c>
      <c r="L19" s="49"/>
      <c r="M19" s="49"/>
      <c r="N19" s="49"/>
      <c r="O19" s="50"/>
    </row>
    <row r="20" spans="1:15" ht="18" customHeight="1">
      <c r="A20" s="42"/>
      <c r="B20" s="327"/>
      <c r="C20" s="328"/>
      <c r="D20" s="329"/>
      <c r="E20" s="330"/>
      <c r="F20" s="330"/>
      <c r="G20" s="331"/>
      <c r="H20" s="279"/>
      <c r="I20" s="276"/>
      <c r="J20" s="277"/>
      <c r="K20" s="278">
        <f t="shared" si="0"/>
        <v>0</v>
      </c>
      <c r="L20" s="49"/>
      <c r="M20" s="47"/>
      <c r="N20" s="49"/>
      <c r="O20" s="50"/>
    </row>
    <row r="21" spans="1:15" ht="18" customHeight="1">
      <c r="A21" s="42"/>
      <c r="B21" s="327"/>
      <c r="C21" s="328"/>
      <c r="D21" s="329"/>
      <c r="E21" s="330"/>
      <c r="F21" s="330"/>
      <c r="G21" s="331"/>
      <c r="H21" s="279"/>
      <c r="I21" s="276"/>
      <c r="J21" s="277"/>
      <c r="K21" s="278">
        <f t="shared" si="0"/>
        <v>0</v>
      </c>
      <c r="L21" s="49"/>
      <c r="M21" s="47"/>
      <c r="N21" s="49"/>
      <c r="O21" s="50"/>
    </row>
    <row r="22" spans="1:15" ht="18" customHeight="1">
      <c r="A22" s="42"/>
      <c r="B22" s="327"/>
      <c r="C22" s="328"/>
      <c r="D22" s="329"/>
      <c r="E22" s="330"/>
      <c r="F22" s="330"/>
      <c r="G22" s="331"/>
      <c r="H22" s="279"/>
      <c r="I22" s="276"/>
      <c r="J22" s="277"/>
      <c r="K22" s="278">
        <f t="shared" si="0"/>
        <v>0</v>
      </c>
      <c r="L22" s="49"/>
      <c r="M22" s="47"/>
      <c r="N22" s="49"/>
      <c r="O22" s="50"/>
    </row>
    <row r="23" spans="1:15" ht="18" customHeight="1">
      <c r="A23" s="42"/>
      <c r="B23" s="327"/>
      <c r="C23" s="328"/>
      <c r="D23" s="329"/>
      <c r="E23" s="330"/>
      <c r="F23" s="330"/>
      <c r="G23" s="331"/>
      <c r="H23" s="279"/>
      <c r="I23" s="276"/>
      <c r="J23" s="277"/>
      <c r="K23" s="278">
        <f t="shared" si="0"/>
        <v>0</v>
      </c>
      <c r="L23" s="49"/>
      <c r="M23" s="47"/>
      <c r="N23" s="49"/>
      <c r="O23" s="50"/>
    </row>
    <row r="24" spans="1:15" ht="18" customHeight="1">
      <c r="A24" s="42"/>
      <c r="B24" s="327"/>
      <c r="C24" s="328"/>
      <c r="D24" s="329"/>
      <c r="E24" s="330"/>
      <c r="F24" s="330"/>
      <c r="G24" s="331"/>
      <c r="H24" s="279"/>
      <c r="I24" s="276"/>
      <c r="J24" s="277"/>
      <c r="K24" s="278">
        <f t="shared" si="0"/>
        <v>0</v>
      </c>
      <c r="L24" s="49"/>
      <c r="M24" s="47"/>
      <c r="N24" s="49"/>
      <c r="O24" s="50"/>
    </row>
    <row r="25" spans="1:15" ht="18" customHeight="1">
      <c r="A25" s="42"/>
      <c r="B25" s="327"/>
      <c r="C25" s="328"/>
      <c r="D25" s="329"/>
      <c r="E25" s="330"/>
      <c r="F25" s="330"/>
      <c r="G25" s="331"/>
      <c r="H25" s="279"/>
      <c r="I25" s="276"/>
      <c r="J25" s="277"/>
      <c r="K25" s="278">
        <f t="shared" si="0"/>
        <v>0</v>
      </c>
      <c r="L25" s="49"/>
      <c r="M25" s="49"/>
      <c r="N25" s="49"/>
      <c r="O25" s="50"/>
    </row>
    <row r="26" spans="1:15" ht="18" customHeight="1">
      <c r="A26" s="42"/>
      <c r="B26" s="327"/>
      <c r="C26" s="328"/>
      <c r="D26" s="329"/>
      <c r="E26" s="330"/>
      <c r="F26" s="330"/>
      <c r="G26" s="331"/>
      <c r="H26" s="279"/>
      <c r="I26" s="276"/>
      <c r="J26" s="277"/>
      <c r="K26" s="278">
        <f t="shared" si="0"/>
        <v>0</v>
      </c>
      <c r="L26" s="49"/>
      <c r="M26" s="49"/>
      <c r="N26" s="49"/>
      <c r="O26" s="50"/>
    </row>
    <row r="27" spans="1:15" ht="18" customHeight="1">
      <c r="A27" s="42"/>
      <c r="B27" s="327"/>
      <c r="C27" s="328"/>
      <c r="D27" s="329"/>
      <c r="E27" s="330"/>
      <c r="F27" s="330"/>
      <c r="G27" s="331"/>
      <c r="H27" s="279"/>
      <c r="I27" s="276"/>
      <c r="J27" s="277"/>
      <c r="K27" s="278">
        <f t="shared" si="0"/>
        <v>0</v>
      </c>
      <c r="L27" s="49"/>
      <c r="M27" s="49"/>
      <c r="N27" s="49"/>
      <c r="O27" s="50"/>
    </row>
    <row r="28" spans="1:15" ht="18" customHeight="1">
      <c r="A28" s="42"/>
      <c r="B28" s="327"/>
      <c r="C28" s="328"/>
      <c r="D28" s="329"/>
      <c r="E28" s="330"/>
      <c r="F28" s="330"/>
      <c r="G28" s="331"/>
      <c r="H28" s="279"/>
      <c r="I28" s="276"/>
      <c r="J28" s="277"/>
      <c r="K28" s="278">
        <f t="shared" si="0"/>
        <v>0</v>
      </c>
      <c r="L28" s="49"/>
      <c r="M28" s="49"/>
      <c r="N28" s="49"/>
      <c r="O28" s="50"/>
    </row>
    <row r="29" spans="1:15" ht="18" customHeight="1">
      <c r="A29" s="42"/>
      <c r="B29" s="327"/>
      <c r="C29" s="328"/>
      <c r="D29" s="329"/>
      <c r="E29" s="330"/>
      <c r="F29" s="330"/>
      <c r="G29" s="331"/>
      <c r="H29" s="279"/>
      <c r="I29" s="276"/>
      <c r="J29" s="277"/>
      <c r="K29" s="278">
        <f t="shared" si="0"/>
        <v>0</v>
      </c>
      <c r="L29" s="51"/>
      <c r="M29" s="49"/>
      <c r="N29" s="49"/>
      <c r="O29" s="50"/>
    </row>
    <row r="30" spans="1:15" ht="18" customHeight="1">
      <c r="A30" s="42"/>
      <c r="B30" s="327"/>
      <c r="C30" s="328"/>
      <c r="D30" s="329"/>
      <c r="E30" s="330"/>
      <c r="F30" s="330"/>
      <c r="G30" s="331"/>
      <c r="H30" s="279"/>
      <c r="I30" s="276"/>
      <c r="J30" s="277"/>
      <c r="K30" s="278">
        <f t="shared" si="0"/>
        <v>0</v>
      </c>
      <c r="L30" s="52"/>
      <c r="M30" s="49"/>
      <c r="N30" s="49"/>
      <c r="O30" s="50"/>
    </row>
    <row r="31" spans="1:15" ht="18" customHeight="1">
      <c r="A31" s="42"/>
      <c r="B31" s="327"/>
      <c r="C31" s="328"/>
      <c r="D31" s="329"/>
      <c r="E31" s="330"/>
      <c r="F31" s="330"/>
      <c r="G31" s="331"/>
      <c r="H31" s="279"/>
      <c r="I31" s="280"/>
      <c r="J31" s="277"/>
      <c r="K31" s="278">
        <f t="shared" si="0"/>
        <v>0</v>
      </c>
      <c r="L31" s="49"/>
      <c r="M31" s="49"/>
      <c r="N31" s="49"/>
      <c r="O31" s="50"/>
    </row>
    <row r="32" spans="1:15" ht="18" customHeight="1">
      <c r="A32" s="42"/>
      <c r="B32" s="327"/>
      <c r="C32" s="328"/>
      <c r="D32" s="329"/>
      <c r="E32" s="330"/>
      <c r="F32" s="330"/>
      <c r="G32" s="331"/>
      <c r="H32" s="279"/>
      <c r="I32" s="276"/>
      <c r="J32" s="277"/>
      <c r="K32" s="278">
        <f t="shared" si="0"/>
        <v>0</v>
      </c>
      <c r="L32" s="49"/>
      <c r="M32" s="49"/>
      <c r="N32" s="49"/>
      <c r="O32" s="50"/>
    </row>
    <row r="33" spans="1:15" ht="18" customHeight="1">
      <c r="A33" s="42"/>
      <c r="B33" s="327"/>
      <c r="C33" s="328"/>
      <c r="D33" s="329"/>
      <c r="E33" s="330"/>
      <c r="F33" s="330"/>
      <c r="G33" s="331"/>
      <c r="H33" s="279"/>
      <c r="I33" s="276"/>
      <c r="J33" s="277"/>
      <c r="K33" s="278">
        <f t="shared" si="0"/>
        <v>0</v>
      </c>
      <c r="L33" s="49"/>
      <c r="M33" s="49"/>
      <c r="N33" s="49"/>
      <c r="O33" s="50"/>
    </row>
    <row r="34" spans="1:15" ht="18" customHeight="1">
      <c r="A34" s="42"/>
      <c r="B34" s="336"/>
      <c r="C34" s="337"/>
      <c r="D34" s="329"/>
      <c r="E34" s="330"/>
      <c r="F34" s="330"/>
      <c r="G34" s="331"/>
      <c r="H34" s="281"/>
      <c r="I34" s="282"/>
      <c r="J34" s="283"/>
      <c r="K34" s="284">
        <f t="shared" si="0"/>
        <v>0</v>
      </c>
      <c r="L34" s="49"/>
      <c r="M34" s="49"/>
      <c r="N34" s="49"/>
      <c r="O34" s="50"/>
    </row>
    <row r="35" spans="1:15" ht="18" customHeight="1">
      <c r="A35" s="42"/>
      <c r="B35" s="336"/>
      <c r="C35" s="337"/>
      <c r="D35" s="329"/>
      <c r="E35" s="330"/>
      <c r="F35" s="330"/>
      <c r="G35" s="331"/>
      <c r="H35" s="281"/>
      <c r="I35" s="282"/>
      <c r="J35" s="283"/>
      <c r="K35" s="284">
        <f t="shared" si="0"/>
        <v>0</v>
      </c>
      <c r="L35" s="49"/>
      <c r="M35" s="49"/>
      <c r="N35" s="49"/>
      <c r="O35" s="50"/>
    </row>
    <row r="36" spans="1:15" ht="18" customHeight="1">
      <c r="A36" s="42"/>
      <c r="B36" s="336"/>
      <c r="C36" s="337"/>
      <c r="D36" s="329"/>
      <c r="E36" s="330"/>
      <c r="F36" s="330"/>
      <c r="G36" s="331"/>
      <c r="H36" s="281"/>
      <c r="I36" s="282"/>
      <c r="J36" s="283"/>
      <c r="K36" s="284">
        <f t="shared" si="0"/>
        <v>0</v>
      </c>
      <c r="L36" s="49"/>
      <c r="M36" s="49"/>
      <c r="N36" s="49"/>
      <c r="O36" s="50"/>
    </row>
    <row r="37" spans="1:15" ht="18" customHeight="1">
      <c r="A37" s="42"/>
      <c r="B37" s="336"/>
      <c r="C37" s="337"/>
      <c r="D37" s="329"/>
      <c r="E37" s="330"/>
      <c r="F37" s="330"/>
      <c r="G37" s="331"/>
      <c r="H37" s="281"/>
      <c r="I37" s="282"/>
      <c r="J37" s="283"/>
      <c r="K37" s="284">
        <f t="shared" si="0"/>
        <v>0</v>
      </c>
      <c r="L37" s="49"/>
      <c r="M37" s="49"/>
      <c r="N37" s="49"/>
      <c r="O37" s="50"/>
    </row>
    <row r="38" spans="1:15" ht="18" customHeight="1">
      <c r="A38" s="42"/>
      <c r="B38" s="327"/>
      <c r="C38" s="328"/>
      <c r="D38" s="329"/>
      <c r="E38" s="330"/>
      <c r="F38" s="330"/>
      <c r="G38" s="331"/>
      <c r="H38" s="279"/>
      <c r="I38" s="276"/>
      <c r="J38" s="277"/>
      <c r="K38" s="278">
        <f>(H38*J38)</f>
        <v>0</v>
      </c>
      <c r="L38" s="49"/>
      <c r="M38" s="49"/>
      <c r="N38" s="49"/>
      <c r="O38" s="50"/>
    </row>
    <row r="39" spans="1:15" ht="18" customHeight="1">
      <c r="A39" s="42"/>
      <c r="B39" s="327"/>
      <c r="C39" s="328"/>
      <c r="D39" s="329"/>
      <c r="E39" s="330"/>
      <c r="F39" s="330"/>
      <c r="G39" s="331"/>
      <c r="H39" s="279"/>
      <c r="I39" s="276"/>
      <c r="J39" s="277"/>
      <c r="K39" s="278">
        <f>(H39*J39)</f>
        <v>0</v>
      </c>
      <c r="L39" s="49"/>
      <c r="M39" s="49"/>
      <c r="N39" s="49"/>
      <c r="O39" s="50"/>
    </row>
    <row r="40" spans="1:15" ht="18" customHeight="1">
      <c r="A40" s="42"/>
      <c r="B40" s="327"/>
      <c r="C40" s="328"/>
      <c r="D40" s="329"/>
      <c r="E40" s="330"/>
      <c r="F40" s="330"/>
      <c r="G40" s="331"/>
      <c r="H40" s="279"/>
      <c r="I40" s="276"/>
      <c r="J40" s="277"/>
      <c r="K40" s="278">
        <f>(H40*J40)</f>
        <v>0</v>
      </c>
      <c r="L40" s="50"/>
      <c r="M40" s="49"/>
      <c r="N40" s="49"/>
      <c r="O40" s="50"/>
    </row>
    <row r="41" spans="1:15" ht="18" customHeight="1">
      <c r="A41" s="42"/>
      <c r="B41" s="327"/>
      <c r="C41" s="328"/>
      <c r="D41" s="329"/>
      <c r="E41" s="330"/>
      <c r="F41" s="330"/>
      <c r="G41" s="331"/>
      <c r="H41" s="285"/>
      <c r="I41" s="286"/>
      <c r="J41" s="287"/>
      <c r="K41" s="278">
        <f t="shared" si="0"/>
        <v>0</v>
      </c>
      <c r="L41" s="49"/>
      <c r="M41" s="49"/>
      <c r="N41" s="49"/>
      <c r="O41" s="50"/>
    </row>
    <row r="42" spans="1:15" ht="18" customHeight="1">
      <c r="A42" s="42"/>
      <c r="B42" s="332"/>
      <c r="C42" s="333"/>
      <c r="D42" s="288"/>
      <c r="E42" s="289"/>
      <c r="F42" s="289"/>
      <c r="G42" s="290" t="s">
        <v>31</v>
      </c>
      <c r="H42" s="275"/>
      <c r="I42" s="291"/>
      <c r="J42" s="292"/>
      <c r="K42" s="293">
        <f>SUM(K14:K41)</f>
        <v>0</v>
      </c>
      <c r="L42" s="49"/>
      <c r="M42" s="49"/>
      <c r="N42" s="49"/>
      <c r="O42" s="50"/>
    </row>
    <row r="43" spans="1:15" ht="18" customHeight="1">
      <c r="A43" s="42"/>
      <c r="B43" s="294"/>
      <c r="C43" s="295"/>
      <c r="D43" s="296"/>
      <c r="E43" s="297"/>
      <c r="F43" s="297"/>
      <c r="G43" s="298" t="s">
        <v>56</v>
      </c>
      <c r="H43" s="299">
        <v>10</v>
      </c>
      <c r="I43" s="300" t="s">
        <v>57</v>
      </c>
      <c r="J43" s="301"/>
      <c r="K43" s="302">
        <f>K42*0.1</f>
        <v>0</v>
      </c>
      <c r="L43" s="49"/>
      <c r="M43" s="49"/>
      <c r="N43" s="49"/>
      <c r="O43" s="50"/>
    </row>
    <row r="44" spans="1:15" ht="18" customHeight="1" thickBot="1">
      <c r="A44" s="42"/>
      <c r="B44" s="334"/>
      <c r="C44" s="335"/>
      <c r="D44" s="303"/>
      <c r="E44" s="304"/>
      <c r="F44" s="304"/>
      <c r="G44" s="305" t="s">
        <v>58</v>
      </c>
      <c r="H44" s="306"/>
      <c r="I44" s="307"/>
      <c r="J44" s="308"/>
      <c r="K44" s="309"/>
      <c r="L44" s="49"/>
      <c r="M44" s="49"/>
      <c r="N44" s="49"/>
      <c r="O44" s="50"/>
    </row>
    <row r="45" spans="1:15" ht="18" customHeight="1" thickBot="1">
      <c r="A45" s="42"/>
      <c r="B45" s="310" t="s">
        <v>59</v>
      </c>
      <c r="C45" s="311"/>
      <c r="D45" s="324" t="s">
        <v>60</v>
      </c>
      <c r="E45" s="325"/>
      <c r="F45" s="325"/>
      <c r="G45" s="326"/>
      <c r="H45" s="312"/>
      <c r="I45" s="312"/>
      <c r="J45" s="313"/>
      <c r="K45" s="314">
        <f>K42+K43+K44</f>
        <v>0</v>
      </c>
      <c r="L45" s="49"/>
      <c r="M45" s="49"/>
      <c r="N45" s="49"/>
      <c r="O45" s="50"/>
    </row>
    <row r="46" spans="1:15" ht="18" customHeight="1">
      <c r="A46" s="42"/>
      <c r="B46" s="93"/>
      <c r="L46" s="49"/>
      <c r="M46" s="49"/>
      <c r="N46" s="49"/>
      <c r="O46" s="50"/>
    </row>
    <row r="47" spans="1:15" ht="18" customHeight="1">
      <c r="A47" s="42"/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49"/>
      <c r="M47" s="49"/>
      <c r="N47" s="49"/>
      <c r="O47" s="50"/>
    </row>
    <row r="48" spans="1:15" ht="18" customHeight="1">
      <c r="A48" s="42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49"/>
      <c r="M48" s="49"/>
      <c r="N48" s="49"/>
      <c r="O48" s="50"/>
    </row>
    <row r="49" spans="1:15" ht="18" customHeight="1">
      <c r="A49" s="42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49"/>
      <c r="M49" s="49"/>
      <c r="N49" s="49"/>
      <c r="O49" s="50"/>
    </row>
    <row r="50" spans="1:15" ht="18" customHeight="1">
      <c r="A50" s="42"/>
      <c r="B50" s="94"/>
      <c r="C50" s="95"/>
      <c r="D50" s="95"/>
      <c r="E50" s="95"/>
      <c r="F50" s="95"/>
      <c r="G50" s="95"/>
      <c r="H50" s="95"/>
      <c r="I50" s="95"/>
      <c r="J50" s="95"/>
      <c r="K50" s="95"/>
      <c r="L50" s="49"/>
      <c r="M50" s="49"/>
      <c r="N50" s="49"/>
      <c r="O50" s="50"/>
    </row>
    <row r="51" spans="1:15" ht="13.5" customHeight="1">
      <c r="B51" s="94"/>
      <c r="C51" s="95"/>
      <c r="D51" s="95"/>
      <c r="E51" s="95"/>
      <c r="F51" s="95"/>
      <c r="G51" s="95"/>
      <c r="H51" s="95"/>
      <c r="I51" s="95"/>
      <c r="J51" s="95"/>
      <c r="K51" s="95"/>
    </row>
    <row r="52" spans="1:15" ht="13.5" customHeight="1">
      <c r="B52" s="94"/>
      <c r="C52" s="95"/>
      <c r="D52" s="95"/>
      <c r="E52" s="95"/>
      <c r="F52" s="95"/>
      <c r="G52" s="95"/>
      <c r="H52" s="95"/>
      <c r="I52" s="95"/>
      <c r="J52" s="95"/>
      <c r="K52" s="95"/>
    </row>
    <row r="53" spans="1:15" ht="13.5" customHeight="1">
      <c r="B53" s="94"/>
      <c r="C53" s="95"/>
      <c r="D53" s="95"/>
      <c r="E53" s="95"/>
      <c r="F53" s="95"/>
      <c r="G53" s="95"/>
      <c r="H53" s="95"/>
      <c r="I53" s="95"/>
      <c r="J53" s="95"/>
      <c r="K53" s="95"/>
    </row>
    <row r="54" spans="1:15" ht="13.5" customHeight="1">
      <c r="B54" s="94"/>
      <c r="C54" s="95"/>
      <c r="D54" s="95"/>
      <c r="E54" s="95"/>
      <c r="F54" s="95"/>
      <c r="G54" s="95"/>
      <c r="H54" s="95"/>
      <c r="I54" s="95"/>
      <c r="J54" s="95"/>
      <c r="K54" s="95"/>
    </row>
    <row r="55" spans="1:15" ht="13.5" customHeight="1">
      <c r="B55" s="94"/>
      <c r="C55" s="95"/>
      <c r="D55" s="95"/>
      <c r="E55" s="95"/>
      <c r="F55" s="95"/>
      <c r="G55" s="95"/>
      <c r="H55" s="95"/>
      <c r="I55" s="95"/>
      <c r="J55" s="95"/>
      <c r="K55" s="95"/>
    </row>
    <row r="56" spans="1:15" ht="13.5" customHeight="1">
      <c r="B56" s="94"/>
      <c r="C56" s="95"/>
      <c r="D56" s="95"/>
      <c r="E56" s="95"/>
      <c r="F56" s="95"/>
      <c r="G56" s="95"/>
      <c r="H56" s="95"/>
      <c r="I56" s="95"/>
      <c r="J56" s="95"/>
      <c r="K56" s="95"/>
    </row>
    <row r="57" spans="1:15" ht="13.5" customHeight="1">
      <c r="B57" s="94"/>
      <c r="C57" s="95"/>
      <c r="D57" s="95"/>
      <c r="E57" s="95"/>
      <c r="F57" s="95"/>
      <c r="G57" s="95"/>
      <c r="H57" s="95"/>
      <c r="I57" s="95"/>
      <c r="J57" s="95"/>
      <c r="K57" s="95"/>
    </row>
    <row r="58" spans="1:15" ht="13.5" customHeight="1">
      <c r="B58" s="94"/>
      <c r="C58" s="95"/>
      <c r="D58" s="95"/>
      <c r="E58" s="95"/>
      <c r="F58" s="95"/>
      <c r="G58" s="95"/>
      <c r="H58" s="95"/>
      <c r="I58" s="95"/>
      <c r="J58" s="95"/>
      <c r="K58" s="95"/>
    </row>
    <row r="59" spans="1:15" ht="13.5" customHeight="1">
      <c r="B59" s="94"/>
      <c r="C59" s="95"/>
      <c r="D59" s="95"/>
      <c r="E59" s="95"/>
      <c r="F59" s="95"/>
      <c r="G59" s="95"/>
      <c r="H59" s="95"/>
      <c r="I59" s="95"/>
      <c r="J59" s="95"/>
      <c r="K59" s="95"/>
    </row>
    <row r="60" spans="1:15" ht="13.5" customHeight="1">
      <c r="B60" s="94"/>
      <c r="C60" s="95"/>
      <c r="D60" s="95"/>
      <c r="E60" s="95"/>
      <c r="F60" s="95"/>
      <c r="G60" s="95"/>
      <c r="H60" s="95"/>
      <c r="I60" s="95"/>
      <c r="J60" s="95"/>
      <c r="K60" s="95"/>
    </row>
    <row r="61" spans="1:15" ht="13.5" customHeight="1">
      <c r="B61" s="94"/>
      <c r="C61" s="95"/>
      <c r="D61" s="95"/>
      <c r="E61" s="95"/>
      <c r="F61" s="95"/>
      <c r="G61" s="95"/>
      <c r="H61" s="95"/>
      <c r="I61" s="95"/>
      <c r="J61" s="95"/>
      <c r="K61" s="95"/>
    </row>
    <row r="62" spans="1:15" ht="13.5" customHeight="1">
      <c r="B62" s="94"/>
      <c r="C62" s="95"/>
      <c r="D62" s="95"/>
      <c r="E62" s="95"/>
      <c r="F62" s="95"/>
      <c r="G62" s="95"/>
      <c r="H62" s="95"/>
      <c r="I62" s="95"/>
      <c r="J62" s="95"/>
      <c r="K62" s="95"/>
    </row>
    <row r="63" spans="1:15" ht="13.5" customHeight="1">
      <c r="B63" s="94"/>
      <c r="C63" s="95"/>
      <c r="D63" s="95"/>
      <c r="E63" s="95"/>
      <c r="F63" s="95"/>
      <c r="G63" s="95"/>
      <c r="H63" s="95"/>
      <c r="I63" s="95"/>
      <c r="J63" s="95"/>
      <c r="K63" s="95"/>
    </row>
    <row r="64" spans="1:15" ht="13.5" customHeight="1">
      <c r="B64" s="94"/>
      <c r="C64" s="95"/>
      <c r="D64" s="95"/>
      <c r="E64" s="95"/>
      <c r="F64" s="95"/>
      <c r="G64" s="95"/>
      <c r="H64" s="95"/>
      <c r="I64" s="95"/>
      <c r="J64" s="95"/>
      <c r="K64" s="95"/>
    </row>
    <row r="65" spans="2:11" ht="13.5" customHeight="1">
      <c r="B65" s="94"/>
      <c r="C65" s="95"/>
      <c r="D65" s="95"/>
      <c r="E65" s="95"/>
      <c r="F65" s="95"/>
      <c r="G65" s="95"/>
      <c r="H65" s="95"/>
      <c r="I65" s="95"/>
      <c r="J65" s="95"/>
      <c r="K65" s="95"/>
    </row>
    <row r="66" spans="2:11" ht="13.5" customHeight="1">
      <c r="B66" s="94"/>
      <c r="C66" s="95"/>
      <c r="D66" s="95"/>
      <c r="E66" s="95"/>
      <c r="F66" s="95"/>
      <c r="G66" s="95"/>
      <c r="H66" s="95"/>
      <c r="I66" s="95"/>
      <c r="J66" s="95"/>
      <c r="K66" s="95"/>
    </row>
    <row r="67" spans="2:11" ht="13.5" customHeight="1">
      <c r="B67" s="94"/>
      <c r="C67" s="95"/>
      <c r="D67" s="95"/>
      <c r="E67" s="95"/>
      <c r="F67" s="95"/>
      <c r="G67" s="95"/>
      <c r="H67" s="95"/>
      <c r="I67" s="95"/>
      <c r="J67" s="95"/>
      <c r="K67" s="95"/>
    </row>
    <row r="68" spans="2:11" ht="13.5" customHeight="1">
      <c r="B68" s="94"/>
      <c r="C68" s="95"/>
      <c r="D68" s="95"/>
      <c r="E68" s="95"/>
      <c r="F68" s="95"/>
      <c r="G68" s="95"/>
      <c r="H68" s="95"/>
      <c r="I68" s="95"/>
      <c r="J68" s="95"/>
      <c r="K68" s="95"/>
    </row>
    <row r="69" spans="2:11" ht="13.5" customHeight="1">
      <c r="B69" s="94"/>
      <c r="C69" s="95"/>
      <c r="D69" s="95"/>
      <c r="E69" s="95"/>
      <c r="F69" s="95"/>
      <c r="G69" s="95"/>
      <c r="H69" s="95"/>
      <c r="I69" s="95"/>
      <c r="J69" s="95"/>
      <c r="K69" s="95"/>
    </row>
    <row r="70" spans="2:11" ht="13.5" customHeight="1">
      <c r="B70" s="94"/>
      <c r="C70" s="95"/>
      <c r="D70" s="95"/>
      <c r="E70" s="95"/>
      <c r="F70" s="95"/>
      <c r="G70" s="95"/>
      <c r="H70" s="95"/>
      <c r="I70" s="95"/>
      <c r="J70" s="95"/>
      <c r="K70" s="95"/>
    </row>
    <row r="71" spans="2:11" ht="13.5" customHeight="1">
      <c r="B71" s="94"/>
      <c r="C71" s="95"/>
      <c r="D71" s="95"/>
      <c r="E71" s="95"/>
      <c r="F71" s="95"/>
      <c r="G71" s="95"/>
      <c r="H71" s="95"/>
      <c r="I71" s="95"/>
      <c r="J71" s="95"/>
      <c r="K71" s="95"/>
    </row>
    <row r="72" spans="2:11" ht="13.5" customHeight="1">
      <c r="B72" s="94"/>
      <c r="C72" s="95"/>
      <c r="D72" s="95"/>
      <c r="E72" s="95"/>
      <c r="F72" s="95"/>
      <c r="G72" s="95"/>
      <c r="H72" s="95"/>
      <c r="I72" s="95"/>
      <c r="J72" s="95"/>
      <c r="K72" s="95"/>
    </row>
    <row r="73" spans="2:11" ht="13.5" customHeight="1">
      <c r="B73" s="94"/>
      <c r="C73" s="95"/>
      <c r="D73" s="95"/>
      <c r="E73" s="95"/>
      <c r="F73" s="95"/>
      <c r="G73" s="95"/>
      <c r="H73" s="95"/>
      <c r="I73" s="95"/>
      <c r="J73" s="95"/>
      <c r="K73" s="95"/>
    </row>
    <row r="74" spans="2:11" ht="13.5" customHeight="1">
      <c r="B74" s="94"/>
      <c r="C74" s="95"/>
      <c r="D74" s="95"/>
      <c r="E74" s="95"/>
      <c r="F74" s="95"/>
      <c r="G74" s="95"/>
      <c r="H74" s="95"/>
      <c r="I74" s="95"/>
      <c r="J74" s="95"/>
      <c r="K74" s="95"/>
    </row>
    <row r="75" spans="2:11" ht="13.5" customHeight="1">
      <c r="B75" s="94"/>
      <c r="C75" s="95"/>
      <c r="D75" s="95"/>
      <c r="E75" s="95"/>
      <c r="F75" s="95"/>
      <c r="G75" s="95"/>
      <c r="H75" s="95"/>
      <c r="I75" s="95"/>
      <c r="J75" s="95"/>
      <c r="K75" s="95"/>
    </row>
    <row r="76" spans="2:11" ht="13.5" customHeight="1">
      <c r="B76" s="94"/>
      <c r="C76" s="95"/>
      <c r="D76" s="95"/>
      <c r="E76" s="95"/>
      <c r="F76" s="95"/>
      <c r="G76" s="95"/>
      <c r="H76" s="95"/>
      <c r="I76" s="95"/>
      <c r="J76" s="95"/>
      <c r="K76" s="95"/>
    </row>
    <row r="77" spans="2:11" ht="13.5" customHeight="1">
      <c r="B77" s="94"/>
      <c r="C77" s="95"/>
      <c r="D77" s="95"/>
      <c r="E77" s="95"/>
      <c r="F77" s="95"/>
      <c r="G77" s="95"/>
      <c r="H77" s="95"/>
      <c r="I77" s="95"/>
      <c r="J77" s="95"/>
      <c r="K77" s="95"/>
    </row>
    <row r="78" spans="2:11" ht="13.5" customHeight="1">
      <c r="B78" s="94"/>
      <c r="C78" s="95"/>
      <c r="D78" s="95"/>
      <c r="E78" s="95"/>
      <c r="F78" s="95"/>
      <c r="G78" s="95"/>
      <c r="H78" s="95"/>
      <c r="I78" s="95"/>
      <c r="J78" s="95"/>
      <c r="K78" s="95"/>
    </row>
    <row r="79" spans="2:11" ht="13.5" customHeight="1">
      <c r="B79" s="94"/>
      <c r="C79" s="95"/>
      <c r="D79" s="95"/>
      <c r="E79" s="95"/>
      <c r="F79" s="95"/>
      <c r="G79" s="95"/>
      <c r="H79" s="95"/>
      <c r="I79" s="95"/>
      <c r="J79" s="95"/>
      <c r="K79" s="95"/>
    </row>
    <row r="80" spans="2:11" ht="13.5" customHeight="1">
      <c r="B80" s="94"/>
      <c r="C80" s="95"/>
      <c r="D80" s="95"/>
      <c r="E80" s="95"/>
      <c r="F80" s="95"/>
      <c r="G80" s="95"/>
      <c r="H80" s="95"/>
      <c r="I80" s="95"/>
      <c r="J80" s="95"/>
      <c r="K80" s="95"/>
    </row>
    <row r="81" spans="2:11" ht="13.5" customHeight="1">
      <c r="B81" s="94"/>
      <c r="C81" s="95"/>
      <c r="D81" s="95"/>
      <c r="E81" s="95"/>
      <c r="F81" s="95"/>
      <c r="G81" s="95"/>
      <c r="H81" s="95"/>
      <c r="I81" s="95"/>
      <c r="J81" s="95"/>
      <c r="K81" s="95"/>
    </row>
    <row r="82" spans="2:11" ht="13.5" customHeight="1">
      <c r="B82" s="94"/>
      <c r="C82" s="95"/>
      <c r="D82" s="95"/>
      <c r="E82" s="95"/>
      <c r="F82" s="95"/>
      <c r="G82" s="95"/>
      <c r="H82" s="95"/>
      <c r="I82" s="95"/>
      <c r="J82" s="95"/>
      <c r="K82" s="95"/>
    </row>
    <row r="83" spans="2:11" ht="13.5" customHeight="1">
      <c r="B83" s="94"/>
      <c r="C83" s="95"/>
      <c r="D83" s="95"/>
      <c r="E83" s="95"/>
      <c r="F83" s="95"/>
      <c r="G83" s="95"/>
      <c r="H83" s="95"/>
      <c r="I83" s="95"/>
      <c r="J83" s="95"/>
      <c r="K83" s="95"/>
    </row>
    <row r="84" spans="2:11" ht="13.5" customHeight="1">
      <c r="B84" s="94"/>
      <c r="C84" s="95"/>
      <c r="D84" s="95"/>
      <c r="E84" s="95"/>
      <c r="F84" s="95"/>
      <c r="G84" s="95"/>
      <c r="H84" s="95"/>
      <c r="I84" s="95"/>
      <c r="J84" s="95"/>
      <c r="K84" s="95"/>
    </row>
    <row r="85" spans="2:11" ht="13.5" customHeight="1">
      <c r="B85" s="94"/>
      <c r="C85" s="95"/>
      <c r="D85" s="95"/>
      <c r="E85" s="95"/>
      <c r="F85" s="95"/>
      <c r="G85" s="95"/>
      <c r="H85" s="95"/>
      <c r="I85" s="95"/>
      <c r="J85" s="95"/>
      <c r="K85" s="95"/>
    </row>
    <row r="86" spans="2:11" ht="13.5" customHeight="1">
      <c r="B86" s="94"/>
      <c r="C86" s="95"/>
      <c r="D86" s="95"/>
      <c r="E86" s="95"/>
      <c r="F86" s="95"/>
      <c r="G86" s="95"/>
      <c r="H86" s="95"/>
      <c r="I86" s="95"/>
      <c r="J86" s="95"/>
      <c r="K86" s="95"/>
    </row>
    <row r="87" spans="2:11" ht="13.5" customHeight="1">
      <c r="B87" s="94"/>
      <c r="C87" s="95"/>
      <c r="D87" s="95"/>
      <c r="E87" s="95"/>
      <c r="F87" s="95"/>
      <c r="G87" s="95"/>
      <c r="H87" s="95"/>
      <c r="I87" s="95"/>
      <c r="J87" s="95"/>
      <c r="K87" s="95"/>
    </row>
    <row r="88" spans="2:11" ht="13.5" customHeight="1">
      <c r="B88" s="94"/>
      <c r="C88" s="95"/>
      <c r="D88" s="95"/>
      <c r="E88" s="95"/>
      <c r="F88" s="95"/>
      <c r="G88" s="95"/>
      <c r="H88" s="95"/>
      <c r="I88" s="95"/>
      <c r="J88" s="95"/>
      <c r="K88" s="95"/>
    </row>
    <row r="89" spans="2:11" ht="13.5" customHeight="1">
      <c r="B89" s="94"/>
      <c r="C89" s="95"/>
      <c r="D89" s="95"/>
      <c r="E89" s="95"/>
      <c r="F89" s="95"/>
      <c r="G89" s="95"/>
      <c r="H89" s="95"/>
      <c r="I89" s="95"/>
      <c r="J89" s="95"/>
      <c r="K89" s="95"/>
    </row>
    <row r="90" spans="2:11" ht="13.5" customHeight="1">
      <c r="B90" s="94"/>
      <c r="C90" s="95"/>
      <c r="D90" s="95"/>
      <c r="E90" s="95"/>
      <c r="F90" s="95"/>
      <c r="G90" s="95"/>
      <c r="H90" s="95"/>
      <c r="I90" s="95"/>
      <c r="J90" s="95"/>
      <c r="K90" s="95"/>
    </row>
    <row r="91" spans="2:11" ht="13.5" customHeight="1">
      <c r="B91" s="94"/>
      <c r="C91" s="95"/>
      <c r="D91" s="95"/>
      <c r="E91" s="95"/>
      <c r="F91" s="95"/>
      <c r="G91" s="95"/>
      <c r="H91" s="95"/>
      <c r="I91" s="95"/>
      <c r="J91" s="95"/>
      <c r="K91" s="95"/>
    </row>
    <row r="92" spans="2:11" ht="13.5" customHeight="1">
      <c r="B92" s="94"/>
      <c r="C92" s="95"/>
      <c r="D92" s="95"/>
      <c r="E92" s="95"/>
      <c r="F92" s="95"/>
      <c r="G92" s="95"/>
      <c r="H92" s="95"/>
      <c r="I92" s="95"/>
      <c r="J92" s="95"/>
      <c r="K92" s="95"/>
    </row>
    <row r="93" spans="2:11" ht="13.5" customHeight="1">
      <c r="B93" s="94"/>
      <c r="C93" s="95"/>
      <c r="D93" s="95"/>
      <c r="E93" s="95"/>
      <c r="F93" s="95"/>
      <c r="G93" s="95"/>
      <c r="H93" s="95"/>
      <c r="I93" s="95"/>
      <c r="J93" s="95"/>
      <c r="K93" s="95"/>
    </row>
    <row r="94" spans="2:11" ht="13.5" customHeight="1">
      <c r="B94" s="94"/>
      <c r="C94" s="95"/>
      <c r="D94" s="95"/>
      <c r="E94" s="95"/>
      <c r="F94" s="95"/>
      <c r="G94" s="95"/>
      <c r="H94" s="95"/>
      <c r="I94" s="95"/>
      <c r="J94" s="95"/>
      <c r="K94" s="95"/>
    </row>
    <row r="95" spans="2:11" ht="13.5" customHeight="1">
      <c r="B95" s="94"/>
      <c r="C95" s="95"/>
      <c r="D95" s="95"/>
      <c r="E95" s="95"/>
      <c r="F95" s="95"/>
      <c r="G95" s="95"/>
      <c r="H95" s="95"/>
      <c r="I95" s="95"/>
      <c r="J95" s="95"/>
      <c r="K95" s="95"/>
    </row>
    <row r="96" spans="2:11" ht="13.5" customHeight="1">
      <c r="B96" s="94"/>
      <c r="C96" s="95"/>
      <c r="D96" s="95"/>
      <c r="E96" s="95"/>
      <c r="F96" s="95"/>
      <c r="G96" s="95"/>
      <c r="H96" s="95"/>
      <c r="I96" s="95"/>
      <c r="J96" s="95"/>
      <c r="K96" s="95"/>
    </row>
    <row r="97" spans="2:11" ht="13.5" customHeight="1">
      <c r="B97" s="94"/>
      <c r="C97" s="95"/>
      <c r="D97" s="95"/>
      <c r="E97" s="95"/>
      <c r="F97" s="95"/>
      <c r="G97" s="95"/>
      <c r="H97" s="95"/>
      <c r="I97" s="95"/>
      <c r="J97" s="95"/>
      <c r="K97" s="95"/>
    </row>
    <row r="98" spans="2:11" ht="13.5" customHeight="1">
      <c r="B98" s="94"/>
      <c r="C98" s="95"/>
      <c r="D98" s="95"/>
      <c r="E98" s="95"/>
      <c r="F98" s="95"/>
      <c r="G98" s="95"/>
      <c r="H98" s="95"/>
      <c r="I98" s="95"/>
      <c r="J98" s="95"/>
      <c r="K98" s="95"/>
    </row>
    <row r="99" spans="2:11" ht="15.75" customHeight="1">
      <c r="B99" s="95"/>
      <c r="C99" s="95"/>
      <c r="D99" s="95"/>
      <c r="E99" s="95"/>
      <c r="F99" s="95"/>
      <c r="G99" s="95"/>
      <c r="H99" s="95"/>
      <c r="I99" s="95"/>
      <c r="J99" s="95"/>
      <c r="K99" s="95"/>
    </row>
    <row r="100" spans="2:11" ht="15.75" customHeight="1">
      <c r="B100" s="95"/>
      <c r="C100" s="95"/>
      <c r="D100" s="95"/>
      <c r="E100" s="95"/>
      <c r="F100" s="95"/>
      <c r="G100" s="95"/>
      <c r="H100" s="95"/>
      <c r="I100" s="95"/>
      <c r="J100" s="95"/>
      <c r="K100" s="95"/>
    </row>
    <row r="101" spans="2:11" ht="15.75" customHeight="1">
      <c r="B101" s="95"/>
      <c r="C101" s="95"/>
      <c r="D101" s="95"/>
      <c r="E101" s="95"/>
      <c r="F101" s="95"/>
      <c r="G101" s="95"/>
      <c r="H101" s="95"/>
      <c r="I101" s="95"/>
      <c r="J101" s="95"/>
      <c r="K101" s="95"/>
    </row>
    <row r="102" spans="2:11" ht="15.75" customHeight="1">
      <c r="B102" s="95"/>
      <c r="C102" s="95"/>
      <c r="D102" s="95"/>
      <c r="E102" s="95"/>
      <c r="F102" s="95"/>
      <c r="G102" s="95"/>
      <c r="H102" s="95"/>
      <c r="I102" s="95"/>
      <c r="J102" s="95"/>
      <c r="K102" s="95"/>
    </row>
    <row r="103" spans="2:11" ht="15.75" customHeight="1">
      <c r="B103" s="95"/>
      <c r="C103" s="95"/>
      <c r="D103" s="95"/>
      <c r="E103" s="95"/>
      <c r="F103" s="95"/>
      <c r="G103" s="95"/>
      <c r="H103" s="95"/>
      <c r="I103" s="95"/>
      <c r="J103" s="95"/>
      <c r="K103" s="95"/>
    </row>
    <row r="104" spans="2:11" ht="15.75" customHeight="1">
      <c r="B104" s="95"/>
      <c r="C104" s="95"/>
      <c r="D104" s="95"/>
      <c r="E104" s="95"/>
      <c r="F104" s="95"/>
      <c r="G104" s="95"/>
      <c r="H104" s="95"/>
      <c r="I104" s="95"/>
      <c r="J104" s="95"/>
      <c r="K104" s="95"/>
    </row>
    <row r="105" spans="2:11" ht="15.75" customHeight="1">
      <c r="B105" s="95"/>
      <c r="C105" s="95"/>
      <c r="D105" s="95"/>
      <c r="E105" s="95"/>
      <c r="F105" s="95"/>
      <c r="G105" s="95"/>
      <c r="H105" s="95"/>
      <c r="I105" s="95"/>
      <c r="J105" s="95"/>
      <c r="K105" s="95"/>
    </row>
    <row r="106" spans="2:11" ht="15.75" customHeight="1">
      <c r="B106" s="95"/>
      <c r="C106" s="95"/>
      <c r="D106" s="95"/>
      <c r="E106" s="95"/>
      <c r="F106" s="95"/>
      <c r="G106" s="95"/>
      <c r="H106" s="95"/>
      <c r="I106" s="95"/>
      <c r="J106" s="95"/>
      <c r="K106" s="95"/>
    </row>
    <row r="107" spans="2:11" ht="15.75" customHeight="1">
      <c r="B107" s="95"/>
      <c r="C107" s="95"/>
      <c r="D107" s="95"/>
      <c r="E107" s="95"/>
      <c r="F107" s="95"/>
      <c r="G107" s="95"/>
      <c r="H107" s="95"/>
      <c r="I107" s="95"/>
      <c r="J107" s="95"/>
      <c r="K107" s="95"/>
    </row>
    <row r="108" spans="2:11" ht="15.75" customHeight="1">
      <c r="B108" s="95"/>
      <c r="C108" s="95"/>
      <c r="D108" s="95"/>
      <c r="E108" s="95"/>
      <c r="F108" s="95"/>
      <c r="G108" s="95"/>
      <c r="H108" s="95"/>
      <c r="I108" s="95"/>
      <c r="J108" s="95"/>
      <c r="K108" s="95"/>
    </row>
    <row r="109" spans="2:11" ht="15.75" customHeight="1">
      <c r="B109" s="95"/>
      <c r="C109" s="95"/>
      <c r="D109" s="95"/>
      <c r="E109" s="95"/>
      <c r="F109" s="95"/>
      <c r="G109" s="95"/>
      <c r="H109" s="95"/>
      <c r="I109" s="95"/>
      <c r="J109" s="95"/>
      <c r="K109" s="95"/>
    </row>
    <row r="110" spans="2:11" ht="15.75" customHeight="1">
      <c r="B110" s="95"/>
      <c r="C110" s="95"/>
      <c r="D110" s="95"/>
      <c r="E110" s="95"/>
      <c r="F110" s="95"/>
      <c r="G110" s="95"/>
      <c r="H110" s="95"/>
      <c r="I110" s="95"/>
      <c r="J110" s="95"/>
      <c r="K110" s="95"/>
    </row>
    <row r="111" spans="2:11" ht="15.75" customHeight="1">
      <c r="B111" s="95"/>
      <c r="C111" s="95"/>
      <c r="D111" s="95"/>
      <c r="E111" s="95"/>
      <c r="F111" s="95"/>
      <c r="G111" s="95"/>
      <c r="H111" s="95"/>
      <c r="I111" s="95"/>
      <c r="J111" s="95"/>
      <c r="K111" s="95"/>
    </row>
    <row r="112" spans="2:11" ht="15.75" customHeight="1">
      <c r="B112" s="95"/>
      <c r="C112" s="95"/>
      <c r="D112" s="95"/>
      <c r="E112" s="95"/>
      <c r="F112" s="95"/>
      <c r="G112" s="95"/>
      <c r="H112" s="95"/>
      <c r="I112" s="95"/>
      <c r="J112" s="95"/>
      <c r="K112" s="95"/>
    </row>
    <row r="113" spans="2:11" ht="15.75" customHeight="1">
      <c r="B113" s="95"/>
      <c r="C113" s="95"/>
      <c r="D113" s="95"/>
      <c r="E113" s="95"/>
      <c r="F113" s="95"/>
      <c r="G113" s="95"/>
      <c r="H113" s="95"/>
      <c r="I113" s="95"/>
      <c r="J113" s="95"/>
      <c r="K113" s="95"/>
    </row>
    <row r="114" spans="2:11" ht="15.75" customHeight="1">
      <c r="B114" s="95"/>
      <c r="C114" s="95"/>
      <c r="D114" s="95"/>
      <c r="E114" s="95"/>
      <c r="F114" s="95"/>
      <c r="G114" s="95"/>
      <c r="H114" s="95"/>
      <c r="I114" s="95"/>
      <c r="J114" s="95"/>
      <c r="K114" s="95"/>
    </row>
    <row r="115" spans="2:11" ht="15.75" customHeight="1">
      <c r="B115" s="95"/>
      <c r="C115" s="95"/>
      <c r="D115" s="95"/>
      <c r="E115" s="95"/>
      <c r="F115" s="95"/>
      <c r="G115" s="95"/>
      <c r="H115" s="95"/>
      <c r="I115" s="95"/>
      <c r="J115" s="95"/>
      <c r="K115" s="95"/>
    </row>
    <row r="116" spans="2:11" ht="15.75" customHeight="1">
      <c r="B116" s="95"/>
      <c r="C116" s="95"/>
      <c r="D116" s="95"/>
      <c r="E116" s="95"/>
      <c r="F116" s="95"/>
      <c r="G116" s="95"/>
      <c r="H116" s="95"/>
      <c r="I116" s="95"/>
      <c r="J116" s="95"/>
      <c r="K116" s="95"/>
    </row>
    <row r="117" spans="2:11" ht="15.75" customHeight="1">
      <c r="B117" s="95"/>
      <c r="C117" s="95"/>
      <c r="D117" s="95"/>
      <c r="E117" s="95"/>
      <c r="F117" s="95"/>
      <c r="G117" s="95"/>
      <c r="H117" s="95"/>
      <c r="I117" s="95"/>
      <c r="J117" s="95"/>
      <c r="K117" s="95"/>
    </row>
    <row r="118" spans="2:11" ht="15.75" customHeight="1">
      <c r="B118" s="95"/>
      <c r="C118" s="95"/>
      <c r="D118" s="95"/>
      <c r="E118" s="95"/>
      <c r="F118" s="95"/>
      <c r="G118" s="95"/>
      <c r="H118" s="95"/>
      <c r="I118" s="95"/>
      <c r="J118" s="95"/>
      <c r="K118" s="95"/>
    </row>
    <row r="119" spans="2:11" ht="15.75" customHeight="1">
      <c r="B119" s="95"/>
      <c r="C119" s="95"/>
      <c r="D119" s="95"/>
      <c r="E119" s="95"/>
      <c r="F119" s="95"/>
      <c r="G119" s="95"/>
      <c r="H119" s="95"/>
      <c r="I119" s="95"/>
      <c r="J119" s="95"/>
      <c r="K119" s="95"/>
    </row>
    <row r="120" spans="2:11" ht="15.75" customHeight="1">
      <c r="B120" s="95"/>
      <c r="C120" s="95"/>
      <c r="D120" s="95"/>
      <c r="E120" s="95"/>
      <c r="F120" s="95"/>
      <c r="G120" s="95"/>
      <c r="H120" s="95"/>
      <c r="I120" s="95"/>
      <c r="J120" s="95"/>
      <c r="K120" s="95"/>
    </row>
    <row r="121" spans="2:11" ht="15.75" customHeight="1">
      <c r="B121" s="95"/>
      <c r="C121" s="95"/>
      <c r="D121" s="95"/>
      <c r="E121" s="95"/>
      <c r="F121" s="95"/>
      <c r="G121" s="95"/>
      <c r="H121" s="95"/>
      <c r="I121" s="95"/>
      <c r="J121" s="95"/>
      <c r="K121" s="95"/>
    </row>
    <row r="122" spans="2:11" ht="15.75" customHeight="1">
      <c r="B122" s="95"/>
      <c r="C122" s="95"/>
      <c r="D122" s="95"/>
      <c r="E122" s="95"/>
      <c r="F122" s="95"/>
      <c r="G122" s="95"/>
      <c r="H122" s="95"/>
      <c r="I122" s="95"/>
      <c r="J122" s="95"/>
      <c r="K122" s="95"/>
    </row>
    <row r="123" spans="2:11" ht="15.75" customHeight="1">
      <c r="B123" s="95"/>
      <c r="C123" s="95"/>
      <c r="D123" s="95"/>
      <c r="E123" s="95"/>
      <c r="F123" s="95"/>
      <c r="G123" s="95"/>
      <c r="H123" s="95"/>
      <c r="I123" s="95"/>
      <c r="J123" s="95"/>
      <c r="K123" s="95"/>
    </row>
    <row r="124" spans="2:11" ht="15.75" customHeight="1">
      <c r="B124" s="95"/>
      <c r="C124" s="95"/>
      <c r="D124" s="95"/>
      <c r="E124" s="95"/>
      <c r="F124" s="95"/>
      <c r="G124" s="95"/>
      <c r="H124" s="95"/>
      <c r="I124" s="95"/>
      <c r="J124" s="95"/>
      <c r="K124" s="95"/>
    </row>
    <row r="125" spans="2:11" ht="15.75" customHeight="1">
      <c r="B125" s="95"/>
      <c r="C125" s="95"/>
      <c r="D125" s="95"/>
      <c r="E125" s="95"/>
      <c r="F125" s="95"/>
      <c r="G125" s="95"/>
      <c r="H125" s="95"/>
      <c r="I125" s="95"/>
      <c r="J125" s="95"/>
      <c r="K125" s="95"/>
    </row>
    <row r="126" spans="2:11" ht="15.75" customHeight="1">
      <c r="B126" s="95"/>
      <c r="C126" s="95"/>
      <c r="D126" s="95"/>
      <c r="E126" s="95"/>
      <c r="F126" s="95"/>
      <c r="G126" s="95"/>
      <c r="H126" s="95"/>
      <c r="I126" s="95"/>
      <c r="J126" s="95"/>
      <c r="K126" s="95"/>
    </row>
    <row r="127" spans="2:11" ht="15.75" customHeight="1">
      <c r="B127" s="95"/>
      <c r="C127" s="95"/>
      <c r="D127" s="95"/>
      <c r="E127" s="95"/>
      <c r="F127" s="95"/>
      <c r="G127" s="95"/>
      <c r="H127" s="95"/>
      <c r="I127" s="95"/>
      <c r="J127" s="95"/>
      <c r="K127" s="95"/>
    </row>
    <row r="128" spans="2:11" ht="15.75" customHeight="1">
      <c r="B128" s="95"/>
      <c r="C128" s="95"/>
      <c r="D128" s="95"/>
      <c r="E128" s="95"/>
      <c r="F128" s="95"/>
      <c r="G128" s="95"/>
      <c r="H128" s="95"/>
      <c r="I128" s="95"/>
      <c r="J128" s="95"/>
      <c r="K128" s="95"/>
    </row>
    <row r="129" spans="2:11" ht="15.75" customHeight="1">
      <c r="B129" s="95"/>
      <c r="C129" s="95"/>
      <c r="D129" s="95"/>
      <c r="E129" s="95"/>
      <c r="F129" s="95"/>
      <c r="G129" s="95"/>
      <c r="H129" s="95"/>
      <c r="I129" s="95"/>
      <c r="J129" s="95"/>
      <c r="K129" s="95"/>
    </row>
    <row r="130" spans="2:11" ht="15.75" customHeight="1">
      <c r="B130" s="95"/>
      <c r="C130" s="95"/>
      <c r="D130" s="95"/>
      <c r="E130" s="95"/>
      <c r="F130" s="95"/>
      <c r="G130" s="95"/>
      <c r="H130" s="95"/>
      <c r="I130" s="95"/>
      <c r="J130" s="95"/>
      <c r="K130" s="95"/>
    </row>
    <row r="131" spans="2:11" ht="15.75" customHeight="1">
      <c r="B131" s="95"/>
      <c r="C131" s="95"/>
      <c r="D131" s="95"/>
      <c r="E131" s="95"/>
      <c r="F131" s="95"/>
      <c r="G131" s="95"/>
      <c r="H131" s="95"/>
      <c r="I131" s="95"/>
      <c r="J131" s="95"/>
      <c r="K131" s="95"/>
    </row>
    <row r="132" spans="2:11" ht="15.75" customHeight="1">
      <c r="B132" s="95"/>
      <c r="C132" s="95"/>
      <c r="D132" s="95"/>
      <c r="E132" s="95"/>
      <c r="F132" s="95"/>
      <c r="G132" s="95"/>
      <c r="H132" s="95"/>
      <c r="I132" s="95"/>
      <c r="J132" s="95"/>
      <c r="K132" s="95"/>
    </row>
    <row r="133" spans="2:11" ht="15.75" customHeight="1">
      <c r="B133" s="95"/>
      <c r="C133" s="95"/>
      <c r="D133" s="95"/>
      <c r="E133" s="95"/>
      <c r="F133" s="95"/>
      <c r="G133" s="95"/>
      <c r="H133" s="95"/>
      <c r="I133" s="95"/>
      <c r="J133" s="95"/>
      <c r="K133" s="95"/>
    </row>
    <row r="134" spans="2:11" ht="15.75" customHeight="1">
      <c r="B134" s="95"/>
      <c r="C134" s="95"/>
      <c r="D134" s="95"/>
      <c r="E134" s="95"/>
      <c r="F134" s="95"/>
      <c r="G134" s="95"/>
      <c r="H134" s="95"/>
      <c r="I134" s="95"/>
      <c r="J134" s="95"/>
      <c r="K134" s="95"/>
    </row>
    <row r="135" spans="2:11" ht="15.75" customHeight="1">
      <c r="B135" s="95"/>
      <c r="C135" s="95"/>
      <c r="D135" s="95"/>
      <c r="E135" s="95"/>
      <c r="F135" s="95"/>
      <c r="G135" s="95"/>
      <c r="H135" s="95"/>
      <c r="I135" s="95"/>
      <c r="J135" s="95"/>
      <c r="K135" s="95"/>
    </row>
    <row r="136" spans="2:11" ht="15.75" customHeight="1">
      <c r="B136" s="95"/>
      <c r="C136" s="95"/>
      <c r="D136" s="95"/>
      <c r="E136" s="95"/>
      <c r="F136" s="95"/>
      <c r="G136" s="95"/>
      <c r="H136" s="95"/>
      <c r="I136" s="95"/>
      <c r="J136" s="95"/>
      <c r="K136" s="95"/>
    </row>
    <row r="137" spans="2:11" ht="15.75" customHeight="1">
      <c r="B137" s="95"/>
      <c r="C137" s="95"/>
      <c r="D137" s="95"/>
      <c r="E137" s="95"/>
      <c r="F137" s="95"/>
      <c r="G137" s="95"/>
      <c r="H137" s="95"/>
      <c r="I137" s="95"/>
      <c r="J137" s="95"/>
      <c r="K137" s="95"/>
    </row>
    <row r="138" spans="2:11" ht="15.75" customHeight="1">
      <c r="B138" s="95"/>
      <c r="C138" s="95"/>
      <c r="D138" s="95"/>
      <c r="E138" s="95"/>
      <c r="F138" s="95"/>
      <c r="G138" s="95"/>
      <c r="H138" s="95"/>
      <c r="I138" s="95"/>
      <c r="J138" s="95"/>
      <c r="K138" s="95"/>
    </row>
    <row r="139" spans="2:11" ht="15.75" customHeight="1">
      <c r="B139" s="95"/>
      <c r="C139" s="95"/>
      <c r="D139" s="95"/>
      <c r="E139" s="95"/>
      <c r="F139" s="95"/>
      <c r="G139" s="95"/>
      <c r="H139" s="95"/>
      <c r="I139" s="95"/>
      <c r="J139" s="95"/>
      <c r="K139" s="95"/>
    </row>
    <row r="140" spans="2:11" ht="15.75" customHeight="1">
      <c r="B140" s="95"/>
      <c r="C140" s="95"/>
      <c r="D140" s="95"/>
      <c r="E140" s="95"/>
      <c r="F140" s="95"/>
      <c r="G140" s="95"/>
      <c r="H140" s="95"/>
      <c r="I140" s="95"/>
      <c r="J140" s="95"/>
      <c r="K140" s="95"/>
    </row>
    <row r="141" spans="2:11" ht="15.75" customHeight="1">
      <c r="B141" s="95"/>
      <c r="C141" s="95"/>
      <c r="D141" s="95"/>
      <c r="E141" s="95"/>
      <c r="F141" s="95"/>
      <c r="G141" s="95"/>
      <c r="H141" s="95"/>
      <c r="I141" s="95"/>
      <c r="J141" s="95"/>
      <c r="K141" s="95"/>
    </row>
    <row r="142" spans="2:11" ht="15.75" customHeight="1">
      <c r="B142" s="95"/>
      <c r="C142" s="95"/>
      <c r="D142" s="95"/>
      <c r="E142" s="95"/>
      <c r="F142" s="95"/>
      <c r="G142" s="95"/>
      <c r="H142" s="95"/>
      <c r="I142" s="95"/>
      <c r="J142" s="95"/>
      <c r="K142" s="95"/>
    </row>
    <row r="143" spans="2:11" ht="15.75" customHeight="1">
      <c r="B143" s="95"/>
      <c r="C143" s="95"/>
      <c r="D143" s="95"/>
      <c r="E143" s="95"/>
      <c r="F143" s="95"/>
      <c r="G143" s="95"/>
      <c r="H143" s="95"/>
      <c r="I143" s="95"/>
      <c r="J143" s="95"/>
      <c r="K143" s="95"/>
    </row>
    <row r="144" spans="2:11" ht="15.75" customHeight="1">
      <c r="B144" s="95"/>
      <c r="C144" s="95"/>
      <c r="D144" s="95"/>
      <c r="E144" s="95"/>
      <c r="F144" s="95"/>
      <c r="G144" s="95"/>
      <c r="H144" s="95"/>
      <c r="I144" s="95"/>
      <c r="J144" s="95"/>
      <c r="K144" s="95"/>
    </row>
    <row r="145" spans="2:11" ht="15.75" customHeight="1">
      <c r="B145" s="95"/>
      <c r="C145" s="95"/>
      <c r="D145" s="95"/>
      <c r="E145" s="95"/>
      <c r="F145" s="95"/>
      <c r="G145" s="95"/>
      <c r="H145" s="95"/>
      <c r="I145" s="95"/>
      <c r="J145" s="95"/>
      <c r="K145" s="95"/>
    </row>
    <row r="146" spans="2:11" ht="15.75" customHeight="1">
      <c r="B146" s="95"/>
      <c r="C146" s="95"/>
      <c r="D146" s="95"/>
      <c r="E146" s="95"/>
      <c r="F146" s="95"/>
      <c r="G146" s="95"/>
      <c r="H146" s="95"/>
      <c r="I146" s="95"/>
      <c r="J146" s="95"/>
      <c r="K146" s="95"/>
    </row>
    <row r="147" spans="2:11" ht="15.75" customHeight="1">
      <c r="B147" s="95"/>
      <c r="C147" s="95"/>
      <c r="D147" s="95"/>
      <c r="E147" s="95"/>
      <c r="F147" s="95"/>
      <c r="G147" s="95"/>
      <c r="H147" s="95"/>
      <c r="I147" s="95"/>
      <c r="J147" s="95"/>
      <c r="K147" s="95"/>
    </row>
    <row r="148" spans="2:11" ht="15.75" customHeight="1">
      <c r="B148" s="95"/>
      <c r="C148" s="95"/>
      <c r="D148" s="95"/>
      <c r="E148" s="95"/>
      <c r="F148" s="95"/>
      <c r="G148" s="95"/>
      <c r="H148" s="95"/>
      <c r="I148" s="95"/>
      <c r="J148" s="95"/>
      <c r="K148" s="95"/>
    </row>
    <row r="149" spans="2:11" ht="15.75" customHeight="1">
      <c r="B149" s="95"/>
      <c r="C149" s="95"/>
      <c r="D149" s="95"/>
      <c r="E149" s="95"/>
      <c r="F149" s="95"/>
      <c r="G149" s="95"/>
      <c r="H149" s="95"/>
      <c r="I149" s="95"/>
      <c r="J149" s="95"/>
      <c r="K149" s="95"/>
    </row>
    <row r="150" spans="2:11" ht="15.75" customHeight="1">
      <c r="B150" s="95"/>
      <c r="C150" s="95"/>
      <c r="D150" s="95"/>
      <c r="E150" s="95"/>
      <c r="F150" s="95"/>
      <c r="G150" s="95"/>
      <c r="H150" s="95"/>
      <c r="I150" s="95"/>
      <c r="J150" s="95"/>
      <c r="K150" s="95"/>
    </row>
    <row r="151" spans="2:11" ht="15.75" customHeight="1">
      <c r="B151" s="95"/>
      <c r="C151" s="95"/>
      <c r="D151" s="95"/>
      <c r="E151" s="95"/>
      <c r="F151" s="95"/>
      <c r="G151" s="95"/>
      <c r="H151" s="95"/>
      <c r="I151" s="95"/>
      <c r="J151" s="95"/>
      <c r="K151" s="95"/>
    </row>
    <row r="152" spans="2:11" ht="15.75" customHeight="1">
      <c r="B152" s="95"/>
      <c r="C152" s="95"/>
      <c r="D152" s="95"/>
      <c r="E152" s="95"/>
      <c r="F152" s="95"/>
      <c r="G152" s="95"/>
      <c r="H152" s="95"/>
      <c r="I152" s="95"/>
      <c r="J152" s="95"/>
      <c r="K152" s="95"/>
    </row>
    <row r="153" spans="2:11" ht="15.75" customHeight="1">
      <c r="B153" s="95"/>
      <c r="C153" s="95"/>
      <c r="D153" s="95"/>
      <c r="E153" s="95"/>
      <c r="F153" s="95"/>
      <c r="G153" s="95"/>
      <c r="H153" s="95"/>
      <c r="I153" s="95"/>
      <c r="J153" s="95"/>
      <c r="K153" s="95"/>
    </row>
    <row r="154" spans="2:11" ht="15.75" customHeight="1">
      <c r="B154" s="95"/>
      <c r="C154" s="95"/>
      <c r="D154" s="95"/>
      <c r="E154" s="95"/>
      <c r="F154" s="95"/>
      <c r="G154" s="95"/>
      <c r="H154" s="95"/>
      <c r="I154" s="95"/>
      <c r="J154" s="95"/>
      <c r="K154" s="95"/>
    </row>
    <row r="155" spans="2:11" ht="15.75" customHeight="1">
      <c r="B155" s="95"/>
      <c r="C155" s="95"/>
      <c r="D155" s="95"/>
      <c r="E155" s="95"/>
      <c r="F155" s="95"/>
      <c r="G155" s="95"/>
      <c r="H155" s="95"/>
      <c r="I155" s="95"/>
      <c r="J155" s="95"/>
      <c r="K155" s="95"/>
    </row>
    <row r="156" spans="2:11" ht="15.75" customHeight="1">
      <c r="B156" s="95"/>
      <c r="C156" s="95"/>
      <c r="D156" s="95"/>
      <c r="E156" s="95"/>
      <c r="F156" s="95"/>
      <c r="G156" s="95"/>
      <c r="H156" s="95"/>
      <c r="I156" s="95"/>
      <c r="J156" s="95"/>
      <c r="K156" s="95"/>
    </row>
    <row r="157" spans="2:11" ht="15.75" customHeight="1">
      <c r="B157" s="95"/>
      <c r="C157" s="95"/>
      <c r="D157" s="95"/>
      <c r="E157" s="95"/>
      <c r="F157" s="95"/>
      <c r="G157" s="95"/>
      <c r="H157" s="95"/>
      <c r="I157" s="95"/>
      <c r="J157" s="95"/>
      <c r="K157" s="95"/>
    </row>
    <row r="158" spans="2:11" ht="15.75" customHeight="1">
      <c r="B158" s="95"/>
      <c r="C158" s="95"/>
      <c r="D158" s="95"/>
      <c r="E158" s="95"/>
      <c r="F158" s="95"/>
      <c r="G158" s="95"/>
      <c r="H158" s="95"/>
      <c r="I158" s="95"/>
      <c r="J158" s="95"/>
      <c r="K158" s="95"/>
    </row>
    <row r="159" spans="2:11" ht="15.75" customHeight="1">
      <c r="B159" s="95"/>
      <c r="C159" s="95"/>
      <c r="D159" s="95"/>
      <c r="E159" s="95"/>
      <c r="F159" s="95"/>
      <c r="G159" s="95"/>
      <c r="H159" s="95"/>
      <c r="I159" s="95"/>
      <c r="J159" s="95"/>
      <c r="K159" s="95"/>
    </row>
    <row r="160" spans="2:11" ht="15.75" customHeight="1">
      <c r="B160" s="95"/>
      <c r="C160" s="95"/>
      <c r="D160" s="95"/>
      <c r="E160" s="95"/>
      <c r="F160" s="95"/>
      <c r="G160" s="95"/>
      <c r="H160" s="95"/>
      <c r="I160" s="95"/>
      <c r="J160" s="95"/>
      <c r="K160" s="95"/>
    </row>
    <row r="161" spans="2:11" ht="15.75" customHeight="1">
      <c r="B161" s="95"/>
      <c r="C161" s="95"/>
      <c r="D161" s="95"/>
      <c r="E161" s="95"/>
      <c r="F161" s="95"/>
      <c r="G161" s="95"/>
      <c r="H161" s="95"/>
      <c r="I161" s="95"/>
      <c r="J161" s="95"/>
      <c r="K161" s="95"/>
    </row>
    <row r="162" spans="2:11" ht="15.75" customHeight="1">
      <c r="B162" s="95"/>
      <c r="C162" s="95"/>
      <c r="D162" s="95"/>
      <c r="E162" s="95"/>
      <c r="F162" s="95"/>
      <c r="G162" s="95"/>
      <c r="H162" s="95"/>
      <c r="I162" s="95"/>
      <c r="J162" s="95"/>
      <c r="K162" s="95"/>
    </row>
    <row r="163" spans="2:11" ht="15.75" customHeight="1">
      <c r="B163" s="95"/>
      <c r="C163" s="95"/>
      <c r="D163" s="95"/>
      <c r="E163" s="95"/>
      <c r="F163" s="95"/>
      <c r="G163" s="95"/>
      <c r="H163" s="95"/>
      <c r="I163" s="95"/>
      <c r="J163" s="95"/>
      <c r="K163" s="95"/>
    </row>
    <row r="164" spans="2:11" ht="15.75" customHeight="1">
      <c r="B164" s="95"/>
      <c r="C164" s="95"/>
      <c r="D164" s="95"/>
      <c r="E164" s="95"/>
      <c r="F164" s="95"/>
      <c r="G164" s="95"/>
      <c r="H164" s="95"/>
      <c r="I164" s="95"/>
      <c r="J164" s="95"/>
      <c r="K164" s="95"/>
    </row>
    <row r="165" spans="2:11" ht="15.75" customHeight="1">
      <c r="B165" s="95"/>
      <c r="C165" s="95"/>
      <c r="D165" s="95"/>
      <c r="E165" s="95"/>
      <c r="F165" s="95"/>
      <c r="G165" s="95"/>
      <c r="H165" s="95"/>
      <c r="I165" s="95"/>
      <c r="J165" s="95"/>
      <c r="K165" s="95"/>
    </row>
    <row r="166" spans="2:11" ht="15.75" customHeight="1">
      <c r="B166" s="95"/>
      <c r="C166" s="95"/>
      <c r="D166" s="95"/>
      <c r="E166" s="95"/>
      <c r="F166" s="95"/>
      <c r="G166" s="95"/>
      <c r="H166" s="95"/>
      <c r="I166" s="95"/>
      <c r="J166" s="95"/>
      <c r="K166" s="95"/>
    </row>
    <row r="167" spans="2:11" ht="15.75" customHeight="1">
      <c r="B167" s="95"/>
      <c r="C167" s="95"/>
      <c r="D167" s="95"/>
      <c r="E167" s="95"/>
      <c r="F167" s="95"/>
      <c r="G167" s="95"/>
      <c r="H167" s="95"/>
      <c r="I167" s="95"/>
      <c r="J167" s="95"/>
      <c r="K167" s="95"/>
    </row>
    <row r="168" spans="2:11" ht="15.75" customHeight="1">
      <c r="B168" s="95"/>
      <c r="C168" s="95"/>
      <c r="D168" s="95"/>
      <c r="E168" s="95"/>
      <c r="F168" s="95"/>
      <c r="G168" s="95"/>
      <c r="H168" s="95"/>
      <c r="I168" s="95"/>
      <c r="J168" s="95"/>
      <c r="K168" s="95"/>
    </row>
    <row r="169" spans="2:11" ht="15.75" customHeight="1">
      <c r="B169" s="95"/>
      <c r="C169" s="95"/>
      <c r="D169" s="95"/>
      <c r="E169" s="95"/>
      <c r="F169" s="95"/>
      <c r="G169" s="95"/>
      <c r="H169" s="95"/>
      <c r="I169" s="95"/>
      <c r="J169" s="95"/>
      <c r="K169" s="95"/>
    </row>
    <row r="170" spans="2:11" ht="15.75" customHeight="1">
      <c r="B170" s="95"/>
      <c r="C170" s="95"/>
      <c r="D170" s="95"/>
      <c r="E170" s="95"/>
      <c r="F170" s="95"/>
      <c r="G170" s="95"/>
      <c r="H170" s="95"/>
      <c r="I170" s="95"/>
      <c r="J170" s="95"/>
      <c r="K170" s="95"/>
    </row>
    <row r="171" spans="2:11" ht="15.75" customHeight="1">
      <c r="B171" s="95"/>
      <c r="C171" s="95"/>
      <c r="D171" s="95"/>
      <c r="E171" s="95"/>
      <c r="F171" s="95"/>
      <c r="G171" s="95"/>
      <c r="H171" s="95"/>
      <c r="I171" s="95"/>
      <c r="J171" s="95"/>
      <c r="K171" s="95"/>
    </row>
    <row r="172" spans="2:11" ht="15.75" customHeight="1">
      <c r="B172" s="95"/>
      <c r="C172" s="95"/>
      <c r="D172" s="95"/>
      <c r="E172" s="95"/>
      <c r="F172" s="95"/>
      <c r="G172" s="95"/>
      <c r="H172" s="95"/>
      <c r="I172" s="95"/>
      <c r="J172" s="95"/>
      <c r="K172" s="95"/>
    </row>
    <row r="173" spans="2:11" ht="15.75" customHeight="1">
      <c r="B173" s="95"/>
      <c r="C173" s="95"/>
      <c r="D173" s="95"/>
      <c r="E173" s="95"/>
      <c r="F173" s="95"/>
      <c r="G173" s="95"/>
      <c r="H173" s="95"/>
      <c r="I173" s="95"/>
      <c r="J173" s="95"/>
      <c r="K173" s="95"/>
    </row>
    <row r="174" spans="2:11" ht="15.75" customHeight="1">
      <c r="B174" s="95"/>
      <c r="C174" s="95"/>
      <c r="D174" s="95"/>
      <c r="E174" s="95"/>
      <c r="F174" s="95"/>
      <c r="G174" s="95"/>
      <c r="H174" s="95"/>
      <c r="I174" s="95"/>
      <c r="J174" s="95"/>
      <c r="K174" s="95"/>
    </row>
    <row r="175" spans="2:11" ht="15.75" customHeight="1">
      <c r="B175" s="95"/>
      <c r="C175" s="95"/>
      <c r="D175" s="95"/>
      <c r="E175" s="95"/>
      <c r="F175" s="95"/>
      <c r="G175" s="95"/>
      <c r="H175" s="95"/>
      <c r="I175" s="95"/>
      <c r="J175" s="95"/>
      <c r="K175" s="95"/>
    </row>
    <row r="176" spans="2:11" ht="15.75" customHeight="1">
      <c r="B176" s="95"/>
      <c r="C176" s="95"/>
      <c r="D176" s="95"/>
      <c r="E176" s="95"/>
      <c r="F176" s="95"/>
      <c r="G176" s="95"/>
      <c r="H176" s="95"/>
      <c r="I176" s="95"/>
      <c r="J176" s="95"/>
      <c r="K176" s="95"/>
    </row>
    <row r="177" spans="2:11" ht="15.75" customHeight="1">
      <c r="B177" s="95"/>
      <c r="C177" s="95"/>
      <c r="D177" s="95"/>
      <c r="E177" s="95"/>
      <c r="F177" s="95"/>
      <c r="G177" s="95"/>
      <c r="H177" s="95"/>
      <c r="I177" s="95"/>
      <c r="J177" s="95"/>
      <c r="K177" s="95"/>
    </row>
    <row r="178" spans="2:11" ht="15.75" customHeight="1">
      <c r="B178" s="95"/>
      <c r="C178" s="95"/>
      <c r="D178" s="95"/>
      <c r="E178" s="95"/>
      <c r="F178" s="95"/>
      <c r="G178" s="95"/>
      <c r="H178" s="95"/>
      <c r="I178" s="95"/>
      <c r="J178" s="95"/>
      <c r="K178" s="95"/>
    </row>
    <row r="179" spans="2:11" ht="15.75" customHeight="1">
      <c r="B179" s="95"/>
      <c r="C179" s="95"/>
      <c r="D179" s="95"/>
      <c r="E179" s="95"/>
      <c r="F179" s="95"/>
      <c r="G179" s="95"/>
      <c r="H179" s="95"/>
      <c r="I179" s="95"/>
      <c r="J179" s="95"/>
      <c r="K179" s="95"/>
    </row>
    <row r="180" spans="2:11" ht="15.75" customHeight="1">
      <c r="B180" s="95"/>
      <c r="C180" s="95"/>
      <c r="D180" s="95"/>
      <c r="E180" s="95"/>
      <c r="F180" s="95"/>
      <c r="G180" s="95"/>
      <c r="H180" s="95"/>
      <c r="I180" s="95"/>
      <c r="J180" s="95"/>
      <c r="K180" s="95"/>
    </row>
    <row r="181" spans="2:11" ht="15.75" customHeight="1">
      <c r="B181" s="95"/>
      <c r="C181" s="95"/>
      <c r="D181" s="95"/>
      <c r="E181" s="95"/>
      <c r="F181" s="95"/>
      <c r="G181" s="95"/>
      <c r="H181" s="95"/>
      <c r="I181" s="95"/>
      <c r="J181" s="95"/>
      <c r="K181" s="95"/>
    </row>
    <row r="182" spans="2:11" ht="15.75" customHeight="1">
      <c r="B182" s="95"/>
      <c r="C182" s="95"/>
      <c r="D182" s="95"/>
      <c r="E182" s="95"/>
      <c r="F182" s="95"/>
      <c r="G182" s="95"/>
      <c r="H182" s="95"/>
      <c r="I182" s="95"/>
      <c r="J182" s="95"/>
      <c r="K182" s="95"/>
    </row>
    <row r="183" spans="2:11" ht="15.75" customHeight="1">
      <c r="B183" s="95"/>
      <c r="C183" s="95"/>
      <c r="D183" s="95"/>
      <c r="E183" s="95"/>
      <c r="F183" s="95"/>
      <c r="G183" s="95"/>
      <c r="H183" s="95"/>
      <c r="I183" s="95"/>
      <c r="J183" s="95"/>
      <c r="K183" s="95"/>
    </row>
    <row r="184" spans="2:11" ht="15.75" customHeight="1">
      <c r="B184" s="95"/>
      <c r="C184" s="95"/>
      <c r="D184" s="95"/>
      <c r="E184" s="95"/>
      <c r="F184" s="95"/>
      <c r="G184" s="95"/>
      <c r="H184" s="95"/>
      <c r="I184" s="95"/>
      <c r="J184" s="95"/>
      <c r="K184" s="95"/>
    </row>
    <row r="185" spans="2:11" ht="15.75" customHeight="1">
      <c r="B185" s="95"/>
      <c r="C185" s="95"/>
      <c r="D185" s="95"/>
      <c r="E185" s="95"/>
      <c r="F185" s="95"/>
      <c r="G185" s="95"/>
      <c r="H185" s="95"/>
      <c r="I185" s="95"/>
      <c r="J185" s="95"/>
      <c r="K185" s="95"/>
    </row>
    <row r="186" spans="2:11" ht="15.75" customHeight="1">
      <c r="B186" s="95"/>
      <c r="C186" s="95"/>
      <c r="D186" s="95"/>
      <c r="E186" s="95"/>
      <c r="F186" s="95"/>
      <c r="G186" s="95"/>
      <c r="H186" s="95"/>
      <c r="I186" s="95"/>
      <c r="J186" s="95"/>
      <c r="K186" s="95"/>
    </row>
    <row r="187" spans="2:11" ht="15.75" customHeight="1">
      <c r="B187" s="95"/>
      <c r="C187" s="95"/>
      <c r="D187" s="95"/>
      <c r="E187" s="95"/>
      <c r="F187" s="95"/>
      <c r="G187" s="95"/>
      <c r="H187" s="95"/>
      <c r="I187" s="95"/>
      <c r="J187" s="95"/>
      <c r="K187" s="95"/>
    </row>
    <row r="188" spans="2:11" ht="15.75" customHeight="1">
      <c r="B188" s="95"/>
      <c r="C188" s="95"/>
      <c r="D188" s="95"/>
      <c r="E188" s="95"/>
      <c r="F188" s="95"/>
      <c r="G188" s="95"/>
      <c r="H188" s="95"/>
      <c r="I188" s="95"/>
      <c r="J188" s="95"/>
      <c r="K188" s="95"/>
    </row>
    <row r="189" spans="2:11" ht="15.75" customHeight="1">
      <c r="B189" s="95"/>
      <c r="C189" s="95"/>
      <c r="D189" s="95"/>
      <c r="E189" s="95"/>
      <c r="F189" s="95"/>
      <c r="G189" s="95"/>
      <c r="H189" s="95"/>
      <c r="I189" s="95"/>
      <c r="J189" s="95"/>
      <c r="K189" s="95"/>
    </row>
    <row r="190" spans="2:11" ht="15.75" customHeight="1">
      <c r="B190" s="95"/>
      <c r="C190" s="95"/>
      <c r="D190" s="95"/>
      <c r="E190" s="95"/>
      <c r="F190" s="95"/>
      <c r="G190" s="95"/>
      <c r="H190" s="95"/>
      <c r="I190" s="95"/>
      <c r="J190" s="95"/>
      <c r="K190" s="95"/>
    </row>
    <row r="191" spans="2:11" ht="15.75" customHeight="1">
      <c r="B191" s="95"/>
      <c r="C191" s="95"/>
      <c r="D191" s="95"/>
      <c r="E191" s="95"/>
      <c r="F191" s="95"/>
      <c r="G191" s="95"/>
      <c r="H191" s="95"/>
      <c r="I191" s="95"/>
      <c r="J191" s="95"/>
      <c r="K191" s="95"/>
    </row>
    <row r="192" spans="2:11" ht="15.75" customHeight="1">
      <c r="B192" s="95"/>
      <c r="C192" s="95"/>
      <c r="D192" s="95"/>
      <c r="E192" s="95"/>
      <c r="F192" s="95"/>
      <c r="G192" s="95"/>
      <c r="H192" s="95"/>
      <c r="I192" s="95"/>
      <c r="J192" s="95"/>
      <c r="K192" s="95"/>
    </row>
    <row r="193" spans="2:11" ht="15.75" customHeight="1">
      <c r="B193" s="95"/>
      <c r="C193" s="95"/>
      <c r="D193" s="95"/>
      <c r="E193" s="95"/>
      <c r="F193" s="95"/>
      <c r="G193" s="95"/>
      <c r="H193" s="95"/>
      <c r="I193" s="95"/>
      <c r="J193" s="95"/>
      <c r="K193" s="95"/>
    </row>
    <row r="194" spans="2:11" ht="15.75" customHeight="1">
      <c r="B194" s="95"/>
      <c r="C194" s="95"/>
      <c r="D194" s="95"/>
      <c r="E194" s="95"/>
      <c r="F194" s="95"/>
      <c r="G194" s="95"/>
      <c r="H194" s="95"/>
      <c r="I194" s="95"/>
      <c r="J194" s="95"/>
      <c r="K194" s="95"/>
    </row>
    <row r="195" spans="2:11" ht="15.75" customHeight="1">
      <c r="B195" s="95"/>
      <c r="C195" s="95"/>
      <c r="D195" s="95"/>
      <c r="E195" s="95"/>
      <c r="F195" s="95"/>
      <c r="G195" s="95"/>
      <c r="H195" s="95"/>
      <c r="I195" s="95"/>
      <c r="J195" s="95"/>
      <c r="K195" s="95"/>
    </row>
    <row r="196" spans="2:11" ht="15.75" customHeight="1">
      <c r="B196" s="95"/>
      <c r="C196" s="95"/>
      <c r="D196" s="95"/>
      <c r="E196" s="95"/>
      <c r="F196" s="95"/>
      <c r="G196" s="95"/>
      <c r="H196" s="95"/>
      <c r="I196" s="95"/>
      <c r="J196" s="95"/>
      <c r="K196" s="95"/>
    </row>
    <row r="197" spans="2:11" ht="15.75" customHeight="1">
      <c r="B197" s="95"/>
      <c r="C197" s="95"/>
      <c r="D197" s="95"/>
      <c r="E197" s="95"/>
      <c r="F197" s="95"/>
      <c r="G197" s="95"/>
      <c r="H197" s="95"/>
      <c r="I197" s="95"/>
      <c r="J197" s="95"/>
      <c r="K197" s="95"/>
    </row>
    <row r="198" spans="2:11" ht="15.75" customHeight="1">
      <c r="B198" s="95"/>
      <c r="C198" s="95"/>
      <c r="D198" s="95"/>
      <c r="E198" s="95"/>
      <c r="F198" s="95"/>
      <c r="G198" s="95"/>
      <c r="H198" s="95"/>
      <c r="I198" s="95"/>
      <c r="J198" s="95"/>
      <c r="K198" s="95"/>
    </row>
    <row r="199" spans="2:11" ht="15.75" customHeight="1"/>
    <row r="200" spans="2:11" ht="15.75" customHeight="1"/>
    <row r="201" spans="2:11" ht="15.75" customHeight="1"/>
    <row r="202" spans="2:11" ht="15.75" customHeight="1"/>
    <row r="203" spans="2:11" ht="15.75" customHeight="1"/>
    <row r="204" spans="2:11" ht="15.75" customHeight="1"/>
    <row r="205" spans="2:11" ht="15.75" customHeight="1"/>
    <row r="206" spans="2:11" ht="15.75" customHeight="1"/>
    <row r="207" spans="2:11" ht="15.75" customHeight="1"/>
    <row r="208" spans="2:11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74">
    <mergeCell ref="J1:K1"/>
    <mergeCell ref="A3:K3"/>
    <mergeCell ref="B5:E5"/>
    <mergeCell ref="B7:B8"/>
    <mergeCell ref="C7:G8"/>
    <mergeCell ref="I7:K7"/>
    <mergeCell ref="I8:K8"/>
    <mergeCell ref="I9:K9"/>
    <mergeCell ref="B10:B11"/>
    <mergeCell ref="C10:D11"/>
    <mergeCell ref="E10:E11"/>
    <mergeCell ref="I10:K10"/>
    <mergeCell ref="I11:K11"/>
    <mergeCell ref="B13:C13"/>
    <mergeCell ref="D13:G13"/>
    <mergeCell ref="B14:C14"/>
    <mergeCell ref="D14:G14"/>
    <mergeCell ref="B15:C15"/>
    <mergeCell ref="D15:G15"/>
    <mergeCell ref="B16:C16"/>
    <mergeCell ref="D16:G16"/>
    <mergeCell ref="B17:C17"/>
    <mergeCell ref="D17:G17"/>
    <mergeCell ref="B18:C18"/>
    <mergeCell ref="D18:G18"/>
    <mergeCell ref="B19:C19"/>
    <mergeCell ref="D19:G19"/>
    <mergeCell ref="B20:C20"/>
    <mergeCell ref="D20:G20"/>
    <mergeCell ref="B21:C21"/>
    <mergeCell ref="D21:G21"/>
    <mergeCell ref="B22:C22"/>
    <mergeCell ref="D22:G22"/>
    <mergeCell ref="B23:C23"/>
    <mergeCell ref="D23:G23"/>
    <mergeCell ref="B24:C24"/>
    <mergeCell ref="D24:G24"/>
    <mergeCell ref="B25:C25"/>
    <mergeCell ref="D25:G25"/>
    <mergeCell ref="B26:C26"/>
    <mergeCell ref="D26:G26"/>
    <mergeCell ref="B27:C27"/>
    <mergeCell ref="D27:G27"/>
    <mergeCell ref="B28:C28"/>
    <mergeCell ref="D28:G28"/>
    <mergeCell ref="B29:C29"/>
    <mergeCell ref="D29:G29"/>
    <mergeCell ref="B30:C30"/>
    <mergeCell ref="D30:G30"/>
    <mergeCell ref="B31:C31"/>
    <mergeCell ref="D31:G31"/>
    <mergeCell ref="B32:C32"/>
    <mergeCell ref="D32:G32"/>
    <mergeCell ref="B33:C33"/>
    <mergeCell ref="D33:G33"/>
    <mergeCell ref="B34:C34"/>
    <mergeCell ref="D34:G34"/>
    <mergeCell ref="B35:C35"/>
    <mergeCell ref="D35:G35"/>
    <mergeCell ref="B36:C36"/>
    <mergeCell ref="D36:G36"/>
    <mergeCell ref="B37:C37"/>
    <mergeCell ref="D37:G37"/>
    <mergeCell ref="B38:C38"/>
    <mergeCell ref="D38:G38"/>
    <mergeCell ref="B39:C39"/>
    <mergeCell ref="D39:G39"/>
    <mergeCell ref="D45:G45"/>
    <mergeCell ref="B40:C40"/>
    <mergeCell ref="D40:G40"/>
    <mergeCell ref="B41:C41"/>
    <mergeCell ref="D41:G41"/>
    <mergeCell ref="B42:C42"/>
    <mergeCell ref="B44:C44"/>
  </mergeCells>
  <phoneticPr fontId="11"/>
  <dataValidations count="1">
    <dataValidation type="list" allowBlank="1" showInputMessage="1" showErrorMessage="1" prompt=" - " sqref="L7" xr:uid="{9F5FD8AA-6F5A-4E6F-8757-4FDE336E9E24}">
      <formula1>"0.0,0.5,1.0,0.2,0.3"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R1007"/>
  <sheetViews>
    <sheetView showZeros="0" workbookViewId="0">
      <selection activeCell="B5" sqref="B5:E5"/>
    </sheetView>
  </sheetViews>
  <sheetFormatPr defaultColWidth="12.625" defaultRowHeight="15" customHeight="1"/>
  <cols>
    <col min="1" max="1" width="1.125" style="28" customWidth="1"/>
    <col min="2" max="2" width="8" style="28" customWidth="1"/>
    <col min="3" max="3" width="10.125" style="28" customWidth="1"/>
    <col min="4" max="7" width="7.75" style="28" customWidth="1"/>
    <col min="8" max="8" width="7" style="28" customWidth="1"/>
    <col min="9" max="9" width="5.25" style="28" customWidth="1"/>
    <col min="10" max="10" width="10.125" style="28" customWidth="1"/>
    <col min="11" max="11" width="12.75" style="28" customWidth="1"/>
    <col min="12" max="15" width="8" style="28" customWidth="1"/>
    <col min="16" max="26" width="14.375" style="28" customWidth="1"/>
    <col min="27" max="16384" width="12.625" style="28"/>
  </cols>
  <sheetData>
    <row r="1" spans="1:18" ht="13.5">
      <c r="A1" s="153"/>
      <c r="B1" s="153"/>
      <c r="C1" s="153"/>
      <c r="D1" s="153"/>
      <c r="E1" s="153"/>
      <c r="F1" s="153"/>
      <c r="G1" s="153"/>
      <c r="H1" s="153"/>
      <c r="I1" s="178"/>
      <c r="J1" s="371">
        <f ca="1">TODAY()</f>
        <v>44237</v>
      </c>
      <c r="K1" s="371"/>
      <c r="L1" s="153"/>
      <c r="M1" s="153"/>
      <c r="N1" s="153"/>
    </row>
    <row r="2" spans="1:18" ht="4.5" customHeight="1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</row>
    <row r="3" spans="1:18" ht="30" customHeight="1">
      <c r="A3" s="375" t="s">
        <v>112</v>
      </c>
      <c r="B3" s="375"/>
      <c r="C3" s="375"/>
      <c r="D3" s="375"/>
      <c r="E3" s="375"/>
      <c r="F3" s="375"/>
      <c r="G3" s="375"/>
      <c r="H3" s="375"/>
      <c r="I3" s="375"/>
      <c r="J3" s="375"/>
      <c r="K3" s="375"/>
      <c r="L3" s="153"/>
      <c r="M3" s="153"/>
      <c r="N3" s="153"/>
    </row>
    <row r="4" spans="1:18" ht="4.5" customHeight="1">
      <c r="A4" s="153"/>
      <c r="B4" s="153"/>
      <c r="C4" s="153"/>
      <c r="D4" s="170"/>
      <c r="E4" s="170"/>
      <c r="F4" s="170"/>
      <c r="G4" s="170"/>
      <c r="H4" s="170"/>
      <c r="I4" s="153"/>
      <c r="J4" s="153"/>
      <c r="K4" s="153"/>
      <c r="L4" s="153"/>
      <c r="M4" s="153"/>
      <c r="N4" s="153"/>
    </row>
    <row r="5" spans="1:18" ht="30" customHeight="1">
      <c r="A5" s="168"/>
      <c r="B5" s="374"/>
      <c r="C5" s="374"/>
      <c r="D5" s="374"/>
      <c r="E5" s="374"/>
      <c r="F5" s="169" t="s">
        <v>113</v>
      </c>
      <c r="G5" s="176"/>
      <c r="H5" s="159"/>
      <c r="I5" s="159"/>
      <c r="J5" s="159"/>
      <c r="K5" s="159"/>
      <c r="L5" s="153"/>
      <c r="M5" s="153"/>
      <c r="N5" s="153"/>
    </row>
    <row r="6" spans="1:18" ht="4.5" customHeight="1">
      <c r="A6" s="159"/>
      <c r="B6" s="172"/>
      <c r="C6" s="159"/>
      <c r="D6" s="159"/>
      <c r="E6" s="159"/>
      <c r="F6" s="159"/>
      <c r="G6" s="159"/>
      <c r="H6" s="159"/>
      <c r="I6" s="159"/>
      <c r="J6" s="159"/>
      <c r="K6" s="159"/>
      <c r="L6" s="153"/>
      <c r="M6" s="153"/>
      <c r="N6" s="153"/>
    </row>
    <row r="7" spans="1:18" ht="12.75" customHeight="1">
      <c r="A7" s="159"/>
      <c r="B7" s="372"/>
      <c r="C7" s="373"/>
      <c r="D7" s="373"/>
      <c r="E7" s="373"/>
      <c r="F7" s="373"/>
      <c r="G7" s="373"/>
      <c r="H7" s="159"/>
      <c r="I7" s="376"/>
      <c r="J7" s="376"/>
      <c r="K7" s="376"/>
      <c r="L7" s="153"/>
      <c r="M7" s="153"/>
      <c r="N7" s="153"/>
    </row>
    <row r="8" spans="1:18" ht="12.75" customHeight="1">
      <c r="A8" s="159"/>
      <c r="B8" s="372"/>
      <c r="C8" s="373"/>
      <c r="D8" s="373"/>
      <c r="E8" s="373"/>
      <c r="F8" s="373"/>
      <c r="G8" s="373"/>
      <c r="H8" s="159"/>
      <c r="I8" s="376" t="s">
        <v>114</v>
      </c>
      <c r="J8" s="376"/>
      <c r="K8" s="376"/>
      <c r="L8" s="153"/>
      <c r="M8" s="153"/>
      <c r="N8" s="153"/>
    </row>
    <row r="9" spans="1:18" ht="12.75" customHeight="1">
      <c r="A9" s="159"/>
      <c r="B9" s="172"/>
      <c r="C9" s="159"/>
      <c r="D9" s="159"/>
      <c r="E9" s="159"/>
      <c r="F9" s="159"/>
      <c r="G9" s="159"/>
      <c r="H9" s="159"/>
      <c r="I9" s="376" t="s">
        <v>27</v>
      </c>
      <c r="J9" s="376"/>
      <c r="K9" s="376"/>
      <c r="L9" s="153"/>
      <c r="M9" s="153"/>
      <c r="N9" s="153"/>
    </row>
    <row r="10" spans="1:18" ht="12.75" customHeight="1">
      <c r="A10" s="159"/>
      <c r="B10" s="383" t="s">
        <v>72</v>
      </c>
      <c r="C10" s="377">
        <f>K91</f>
        <v>0</v>
      </c>
      <c r="D10" s="377"/>
      <c r="E10" s="379" t="s">
        <v>29</v>
      </c>
      <c r="F10" s="159"/>
      <c r="G10" s="159"/>
      <c r="H10" s="159"/>
      <c r="I10" s="376" t="s">
        <v>32</v>
      </c>
      <c r="J10" s="376"/>
      <c r="K10" s="376"/>
      <c r="L10" s="153"/>
      <c r="M10" s="153"/>
      <c r="N10" s="153"/>
      <c r="P10" s="233"/>
      <c r="Q10" s="233"/>
      <c r="R10" s="233"/>
    </row>
    <row r="11" spans="1:18" ht="12.75" customHeight="1">
      <c r="A11" s="159"/>
      <c r="B11" s="384"/>
      <c r="C11" s="378"/>
      <c r="D11" s="378"/>
      <c r="E11" s="380"/>
      <c r="F11" s="159"/>
      <c r="G11" s="159"/>
      <c r="H11" s="159"/>
      <c r="I11" s="385" t="s">
        <v>108</v>
      </c>
      <c r="J11" s="376"/>
      <c r="K11" s="376"/>
      <c r="L11" s="153"/>
      <c r="M11" s="153"/>
      <c r="N11" s="153"/>
    </row>
    <row r="12" spans="1:18" thickBot="1">
      <c r="A12" s="160"/>
      <c r="B12" s="173"/>
      <c r="C12" s="161"/>
      <c r="D12" s="161"/>
      <c r="E12" s="161"/>
      <c r="F12" s="161"/>
      <c r="G12" s="161"/>
      <c r="H12" s="162"/>
      <c r="I12" s="180"/>
      <c r="J12" s="163"/>
      <c r="K12" s="163"/>
      <c r="L12" s="154"/>
      <c r="M12" s="154"/>
      <c r="N12" s="154"/>
    </row>
    <row r="13" spans="1:18" ht="18" customHeight="1">
      <c r="A13" s="164"/>
      <c r="B13" s="386" t="s">
        <v>115</v>
      </c>
      <c r="C13" s="387"/>
      <c r="D13" s="190" t="s">
        <v>40</v>
      </c>
      <c r="E13" s="191"/>
      <c r="F13" s="191"/>
      <c r="G13" s="192"/>
      <c r="H13" s="193" t="s">
        <v>43</v>
      </c>
      <c r="I13" s="194" t="s">
        <v>5</v>
      </c>
      <c r="J13" s="195" t="s">
        <v>35</v>
      </c>
      <c r="K13" s="196" t="s">
        <v>28</v>
      </c>
      <c r="L13" s="155"/>
      <c r="M13" s="155"/>
      <c r="N13" s="155"/>
      <c r="O13" s="48"/>
    </row>
    <row r="14" spans="1:18" ht="18" customHeight="1">
      <c r="A14" s="164"/>
      <c r="B14" s="366"/>
      <c r="C14" s="367"/>
      <c r="D14" s="360"/>
      <c r="E14" s="361"/>
      <c r="F14" s="361"/>
      <c r="G14" s="362"/>
      <c r="H14" s="206"/>
      <c r="I14" s="181"/>
      <c r="J14" s="182"/>
      <c r="K14" s="319">
        <f>H14*J14</f>
        <v>0</v>
      </c>
      <c r="L14" s="155"/>
      <c r="M14" s="155"/>
      <c r="N14" s="155"/>
      <c r="O14" s="50"/>
    </row>
    <row r="15" spans="1:18" ht="18" customHeight="1">
      <c r="A15" s="165"/>
      <c r="B15" s="366"/>
      <c r="C15" s="367"/>
      <c r="D15" s="360"/>
      <c r="E15" s="361"/>
      <c r="F15" s="361"/>
      <c r="G15" s="362"/>
      <c r="H15" s="199"/>
      <c r="I15" s="181"/>
      <c r="J15" s="182"/>
      <c r="K15" s="319">
        <f t="shared" ref="K15:K45" si="0">H15*J15</f>
        <v>0</v>
      </c>
      <c r="L15" s="155"/>
      <c r="M15" s="155"/>
      <c r="N15" s="155"/>
      <c r="O15" s="50"/>
    </row>
    <row r="16" spans="1:18" s="30" customFormat="1" ht="18" customHeight="1">
      <c r="A16" s="164"/>
      <c r="B16" s="366"/>
      <c r="C16" s="367"/>
      <c r="D16" s="360"/>
      <c r="E16" s="361"/>
      <c r="F16" s="361"/>
      <c r="G16" s="362"/>
      <c r="H16" s="199"/>
      <c r="I16" s="181"/>
      <c r="J16" s="182"/>
      <c r="K16" s="319">
        <f t="shared" si="0"/>
        <v>0</v>
      </c>
      <c r="L16" s="155"/>
      <c r="M16" s="158"/>
      <c r="N16" s="155"/>
      <c r="O16" s="50"/>
    </row>
    <row r="17" spans="1:15" ht="18" customHeight="1">
      <c r="A17" s="165"/>
      <c r="B17" s="366"/>
      <c r="C17" s="367"/>
      <c r="D17" s="360"/>
      <c r="E17" s="361"/>
      <c r="F17" s="361"/>
      <c r="G17" s="362"/>
      <c r="H17" s="199"/>
      <c r="I17" s="181"/>
      <c r="J17" s="182"/>
      <c r="K17" s="319">
        <f t="shared" si="0"/>
        <v>0</v>
      </c>
      <c r="L17" s="155"/>
      <c r="M17" s="157"/>
      <c r="N17" s="155"/>
      <c r="O17" s="50"/>
    </row>
    <row r="18" spans="1:15" ht="18" customHeight="1">
      <c r="A18" s="165"/>
      <c r="B18" s="366"/>
      <c r="C18" s="367"/>
      <c r="D18" s="360"/>
      <c r="E18" s="361"/>
      <c r="F18" s="361"/>
      <c r="G18" s="362"/>
      <c r="H18" s="199"/>
      <c r="I18" s="181"/>
      <c r="J18" s="182"/>
      <c r="K18" s="319">
        <f t="shared" si="0"/>
        <v>0</v>
      </c>
      <c r="L18" s="155"/>
      <c r="M18" s="155"/>
      <c r="N18" s="155"/>
      <c r="O18" s="50"/>
    </row>
    <row r="19" spans="1:15" s="53" customFormat="1" ht="18" customHeight="1">
      <c r="A19" s="165"/>
      <c r="B19" s="366"/>
      <c r="C19" s="367"/>
      <c r="D19" s="360"/>
      <c r="E19" s="361"/>
      <c r="F19" s="361"/>
      <c r="G19" s="362"/>
      <c r="H19" s="199"/>
      <c r="I19" s="181"/>
      <c r="J19" s="182"/>
      <c r="K19" s="319">
        <f t="shared" si="0"/>
        <v>0</v>
      </c>
      <c r="L19" s="155"/>
      <c r="M19" s="157"/>
      <c r="N19" s="155"/>
      <c r="O19" s="50"/>
    </row>
    <row r="20" spans="1:15" ht="18" customHeight="1">
      <c r="A20" s="165"/>
      <c r="B20" s="366"/>
      <c r="C20" s="367"/>
      <c r="D20" s="360"/>
      <c r="E20" s="361"/>
      <c r="F20" s="361"/>
      <c r="G20" s="362"/>
      <c r="H20" s="199"/>
      <c r="I20" s="184"/>
      <c r="J20" s="182"/>
      <c r="K20" s="319">
        <f>H20*J20</f>
        <v>0</v>
      </c>
      <c r="L20" s="155"/>
      <c r="M20" s="155"/>
      <c r="N20" s="155"/>
      <c r="O20" s="50"/>
    </row>
    <row r="21" spans="1:15" ht="18" customHeight="1">
      <c r="A21" s="165"/>
      <c r="B21" s="381"/>
      <c r="C21" s="382"/>
      <c r="D21" s="360"/>
      <c r="E21" s="361"/>
      <c r="F21" s="361"/>
      <c r="G21" s="362"/>
      <c r="H21" s="199"/>
      <c r="I21" s="181"/>
      <c r="J21" s="182"/>
      <c r="K21" s="319">
        <f t="shared" si="0"/>
        <v>0</v>
      </c>
      <c r="L21" s="155"/>
      <c r="M21" s="155"/>
      <c r="N21" s="155"/>
      <c r="O21" s="50"/>
    </row>
    <row r="22" spans="1:15" ht="18" customHeight="1">
      <c r="A22" s="165"/>
      <c r="B22" s="366"/>
      <c r="C22" s="367"/>
      <c r="D22" s="360"/>
      <c r="E22" s="361"/>
      <c r="F22" s="361"/>
      <c r="G22" s="362"/>
      <c r="H22" s="199"/>
      <c r="I22" s="181"/>
      <c r="J22" s="182"/>
      <c r="K22" s="319">
        <f t="shared" si="0"/>
        <v>0</v>
      </c>
      <c r="L22" s="155"/>
      <c r="M22" s="155"/>
      <c r="N22" s="155"/>
      <c r="O22" s="50"/>
    </row>
    <row r="23" spans="1:15" ht="18" customHeight="1">
      <c r="A23" s="165"/>
      <c r="B23" s="366"/>
      <c r="C23" s="367"/>
      <c r="D23" s="360"/>
      <c r="E23" s="361"/>
      <c r="F23" s="361"/>
      <c r="G23" s="362"/>
      <c r="H23" s="199"/>
      <c r="I23" s="181"/>
      <c r="J23" s="182"/>
      <c r="K23" s="319">
        <f t="shared" si="0"/>
        <v>0</v>
      </c>
      <c r="L23" s="155"/>
      <c r="M23" s="155"/>
      <c r="N23" s="155"/>
      <c r="O23" s="50"/>
    </row>
    <row r="24" spans="1:15" ht="18" customHeight="1">
      <c r="A24" s="165"/>
      <c r="B24" s="366"/>
      <c r="C24" s="367"/>
      <c r="D24" s="360"/>
      <c r="E24" s="361"/>
      <c r="F24" s="361"/>
      <c r="G24" s="362"/>
      <c r="H24" s="199"/>
      <c r="I24" s="181"/>
      <c r="J24" s="182"/>
      <c r="K24" s="319">
        <f t="shared" si="0"/>
        <v>0</v>
      </c>
      <c r="L24" s="155"/>
      <c r="M24" s="155"/>
      <c r="N24" s="155"/>
      <c r="O24" s="50"/>
    </row>
    <row r="25" spans="1:15" ht="18" customHeight="1">
      <c r="A25" s="165"/>
      <c r="B25" s="366"/>
      <c r="C25" s="367"/>
      <c r="D25" s="360"/>
      <c r="E25" s="361"/>
      <c r="F25" s="361"/>
      <c r="G25" s="362"/>
      <c r="H25" s="199"/>
      <c r="I25" s="181"/>
      <c r="J25" s="182"/>
      <c r="K25" s="319">
        <f t="shared" si="0"/>
        <v>0</v>
      </c>
      <c r="L25" s="155"/>
      <c r="M25" s="155"/>
      <c r="N25" s="155"/>
      <c r="O25" s="50"/>
    </row>
    <row r="26" spans="1:15" ht="18" customHeight="1">
      <c r="A26" s="165"/>
      <c r="B26" s="366"/>
      <c r="C26" s="367"/>
      <c r="D26" s="360"/>
      <c r="E26" s="361"/>
      <c r="F26" s="361"/>
      <c r="G26" s="362"/>
      <c r="H26" s="199"/>
      <c r="I26" s="181"/>
      <c r="J26" s="182"/>
      <c r="K26" s="319">
        <f t="shared" si="0"/>
        <v>0</v>
      </c>
      <c r="L26" s="155"/>
      <c r="M26" s="155"/>
      <c r="N26" s="155"/>
      <c r="O26" s="50"/>
    </row>
    <row r="27" spans="1:15" ht="18" customHeight="1">
      <c r="A27" s="165"/>
      <c r="B27" s="366"/>
      <c r="C27" s="367"/>
      <c r="D27" s="360"/>
      <c r="E27" s="361"/>
      <c r="F27" s="361"/>
      <c r="G27" s="362"/>
      <c r="H27" s="199"/>
      <c r="I27" s="181"/>
      <c r="J27" s="182"/>
      <c r="K27" s="319">
        <f t="shared" si="0"/>
        <v>0</v>
      </c>
      <c r="L27" s="155"/>
      <c r="M27" s="155"/>
      <c r="N27" s="155"/>
      <c r="O27" s="50"/>
    </row>
    <row r="28" spans="1:15" ht="18" customHeight="1">
      <c r="A28" s="165"/>
      <c r="B28" s="366"/>
      <c r="C28" s="367"/>
      <c r="D28" s="368"/>
      <c r="E28" s="369"/>
      <c r="F28" s="369"/>
      <c r="G28" s="370"/>
      <c r="H28" s="199"/>
      <c r="I28" s="181"/>
      <c r="J28" s="182"/>
      <c r="K28" s="319">
        <f t="shared" si="0"/>
        <v>0</v>
      </c>
      <c r="L28" s="155"/>
      <c r="M28" s="155"/>
      <c r="N28" s="155"/>
      <c r="O28" s="50"/>
    </row>
    <row r="29" spans="1:15" ht="18" customHeight="1">
      <c r="A29" s="165"/>
      <c r="B29" s="366"/>
      <c r="C29" s="367"/>
      <c r="D29" s="360"/>
      <c r="E29" s="361"/>
      <c r="F29" s="361"/>
      <c r="G29" s="362"/>
      <c r="H29" s="199"/>
      <c r="I29" s="181"/>
      <c r="J29" s="182"/>
      <c r="K29" s="319">
        <f t="shared" si="0"/>
        <v>0</v>
      </c>
      <c r="L29" s="155"/>
      <c r="M29" s="155"/>
      <c r="N29" s="155"/>
      <c r="O29" s="50"/>
    </row>
    <row r="30" spans="1:15" ht="18" customHeight="1">
      <c r="A30" s="165"/>
      <c r="B30" s="366"/>
      <c r="C30" s="367"/>
      <c r="D30" s="360"/>
      <c r="E30" s="361"/>
      <c r="F30" s="361"/>
      <c r="G30" s="362"/>
      <c r="H30" s="199"/>
      <c r="I30" s="181"/>
      <c r="J30" s="182"/>
      <c r="K30" s="319">
        <f t="shared" si="0"/>
        <v>0</v>
      </c>
      <c r="L30" s="155"/>
      <c r="M30" s="155"/>
      <c r="N30" s="155"/>
      <c r="O30" s="50"/>
    </row>
    <row r="31" spans="1:15" ht="18" customHeight="1">
      <c r="A31" s="165"/>
      <c r="B31" s="366"/>
      <c r="C31" s="367"/>
      <c r="D31" s="360"/>
      <c r="E31" s="361"/>
      <c r="F31" s="361"/>
      <c r="G31" s="362"/>
      <c r="H31" s="199"/>
      <c r="I31" s="181"/>
      <c r="J31" s="182"/>
      <c r="K31" s="319">
        <f t="shared" si="0"/>
        <v>0</v>
      </c>
      <c r="L31" s="155"/>
      <c r="M31" s="155"/>
      <c r="N31" s="155"/>
      <c r="O31" s="50"/>
    </row>
    <row r="32" spans="1:15" s="53" customFormat="1" ht="18" customHeight="1">
      <c r="A32" s="165"/>
      <c r="B32" s="366"/>
      <c r="C32" s="367"/>
      <c r="D32" s="360"/>
      <c r="E32" s="361"/>
      <c r="F32" s="361"/>
      <c r="G32" s="362"/>
      <c r="H32" s="199"/>
      <c r="I32" s="181"/>
      <c r="J32" s="182"/>
      <c r="K32" s="319">
        <f t="shared" si="0"/>
        <v>0</v>
      </c>
      <c r="L32" s="155"/>
      <c r="M32" s="155"/>
      <c r="N32" s="155"/>
      <c r="O32" s="50"/>
    </row>
    <row r="33" spans="1:15" ht="18" customHeight="1">
      <c r="A33" s="165"/>
      <c r="B33" s="366"/>
      <c r="C33" s="367"/>
      <c r="D33" s="360"/>
      <c r="E33" s="361"/>
      <c r="F33" s="361"/>
      <c r="G33" s="362"/>
      <c r="H33" s="199"/>
      <c r="I33" s="181"/>
      <c r="J33" s="182"/>
      <c r="K33" s="319">
        <f t="shared" si="0"/>
        <v>0</v>
      </c>
      <c r="L33" s="155"/>
      <c r="M33" s="155"/>
      <c r="N33" s="155"/>
      <c r="O33" s="50"/>
    </row>
    <row r="34" spans="1:15" s="90" customFormat="1" ht="18" customHeight="1">
      <c r="A34" s="165"/>
      <c r="B34" s="366"/>
      <c r="C34" s="367"/>
      <c r="D34" s="360"/>
      <c r="E34" s="361"/>
      <c r="F34" s="361"/>
      <c r="G34" s="362"/>
      <c r="H34" s="206"/>
      <c r="I34" s="185"/>
      <c r="J34" s="186"/>
      <c r="K34" s="319">
        <f t="shared" si="0"/>
        <v>0</v>
      </c>
      <c r="L34" s="155"/>
      <c r="M34" s="155"/>
      <c r="N34" s="155"/>
      <c r="O34" s="50"/>
    </row>
    <row r="35" spans="1:15" s="90" customFormat="1" ht="18" customHeight="1">
      <c r="A35" s="165"/>
      <c r="B35" s="366"/>
      <c r="C35" s="367"/>
      <c r="D35" s="360"/>
      <c r="E35" s="361"/>
      <c r="F35" s="361"/>
      <c r="G35" s="362"/>
      <c r="H35" s="206"/>
      <c r="I35" s="185"/>
      <c r="J35" s="186"/>
      <c r="K35" s="319">
        <f t="shared" si="0"/>
        <v>0</v>
      </c>
      <c r="L35" s="155"/>
      <c r="M35" s="155"/>
      <c r="N35" s="155"/>
      <c r="O35" s="50"/>
    </row>
    <row r="36" spans="1:15" s="90" customFormat="1" ht="18" customHeight="1">
      <c r="A36" s="165"/>
      <c r="B36" s="366"/>
      <c r="C36" s="367"/>
      <c r="D36" s="360"/>
      <c r="E36" s="361"/>
      <c r="F36" s="361"/>
      <c r="G36" s="362"/>
      <c r="H36" s="206"/>
      <c r="I36" s="185"/>
      <c r="J36" s="186"/>
      <c r="K36" s="319">
        <f t="shared" si="0"/>
        <v>0</v>
      </c>
      <c r="L36" s="155"/>
      <c r="M36" s="155"/>
      <c r="N36" s="155"/>
      <c r="O36" s="50"/>
    </row>
    <row r="37" spans="1:15" s="90" customFormat="1" ht="18" customHeight="1">
      <c r="A37" s="165"/>
      <c r="B37" s="366"/>
      <c r="C37" s="367"/>
      <c r="D37" s="360"/>
      <c r="E37" s="361"/>
      <c r="F37" s="361"/>
      <c r="G37" s="362"/>
      <c r="H37" s="206"/>
      <c r="I37" s="185"/>
      <c r="J37" s="186"/>
      <c r="K37" s="319">
        <f t="shared" si="0"/>
        <v>0</v>
      </c>
      <c r="L37" s="155"/>
      <c r="M37" s="155"/>
      <c r="N37" s="155"/>
      <c r="O37" s="50"/>
    </row>
    <row r="38" spans="1:15" s="30" customFormat="1" ht="18" customHeight="1">
      <c r="A38" s="165"/>
      <c r="B38" s="366"/>
      <c r="C38" s="367"/>
      <c r="D38" s="360"/>
      <c r="E38" s="361"/>
      <c r="F38" s="361"/>
      <c r="G38" s="362"/>
      <c r="H38" s="199"/>
      <c r="I38" s="181"/>
      <c r="J38" s="182"/>
      <c r="K38" s="319">
        <f t="shared" si="0"/>
        <v>0</v>
      </c>
      <c r="L38" s="155"/>
      <c r="M38" s="155"/>
      <c r="N38" s="155"/>
      <c r="O38" s="50"/>
    </row>
    <row r="39" spans="1:15" ht="18" customHeight="1">
      <c r="A39" s="165"/>
      <c r="B39" s="366"/>
      <c r="C39" s="367"/>
      <c r="D39" s="360"/>
      <c r="E39" s="361"/>
      <c r="F39" s="361"/>
      <c r="G39" s="362"/>
      <c r="H39" s="199"/>
      <c r="I39" s="181"/>
      <c r="J39" s="182"/>
      <c r="K39" s="319">
        <f t="shared" si="0"/>
        <v>0</v>
      </c>
      <c r="L39" s="155"/>
      <c r="M39" s="155"/>
      <c r="N39" s="155"/>
      <c r="O39" s="50"/>
    </row>
    <row r="40" spans="1:15" ht="18" customHeight="1">
      <c r="A40" s="165"/>
      <c r="B40" s="366"/>
      <c r="C40" s="367"/>
      <c r="D40" s="360"/>
      <c r="E40" s="361"/>
      <c r="F40" s="361"/>
      <c r="G40" s="362"/>
      <c r="H40" s="199"/>
      <c r="I40" s="181"/>
      <c r="J40" s="182"/>
      <c r="K40" s="319">
        <f t="shared" si="0"/>
        <v>0</v>
      </c>
      <c r="L40" s="155"/>
      <c r="M40" s="155"/>
      <c r="N40" s="155"/>
      <c r="O40" s="50"/>
    </row>
    <row r="41" spans="1:15" ht="18" customHeight="1">
      <c r="A41" s="165"/>
      <c r="B41" s="366"/>
      <c r="C41" s="367"/>
      <c r="D41" s="360"/>
      <c r="E41" s="361"/>
      <c r="F41" s="361"/>
      <c r="G41" s="362"/>
      <c r="H41" s="199"/>
      <c r="I41" s="181"/>
      <c r="J41" s="182"/>
      <c r="K41" s="319">
        <f t="shared" si="0"/>
        <v>0</v>
      </c>
      <c r="L41" s="155"/>
      <c r="M41" s="155"/>
      <c r="N41" s="155"/>
      <c r="O41" s="50"/>
    </row>
    <row r="42" spans="1:15" ht="18" customHeight="1">
      <c r="A42" s="165"/>
      <c r="B42" s="366"/>
      <c r="C42" s="367"/>
      <c r="D42" s="360"/>
      <c r="E42" s="361"/>
      <c r="F42" s="361"/>
      <c r="G42" s="362"/>
      <c r="H42" s="199"/>
      <c r="I42" s="181"/>
      <c r="J42" s="182"/>
      <c r="K42" s="319">
        <f t="shared" si="0"/>
        <v>0</v>
      </c>
      <c r="L42" s="155"/>
      <c r="M42" s="155"/>
      <c r="N42" s="155"/>
      <c r="O42" s="50"/>
    </row>
    <row r="43" spans="1:15" ht="18" customHeight="1">
      <c r="A43" s="165"/>
      <c r="B43" s="366"/>
      <c r="C43" s="367"/>
      <c r="D43" s="368"/>
      <c r="E43" s="369"/>
      <c r="F43" s="369"/>
      <c r="G43" s="370"/>
      <c r="H43" s="199"/>
      <c r="I43" s="181"/>
      <c r="J43" s="182"/>
      <c r="K43" s="319">
        <f t="shared" si="0"/>
        <v>0</v>
      </c>
      <c r="L43" s="155"/>
      <c r="M43" s="155"/>
      <c r="N43" s="155"/>
      <c r="O43" s="50"/>
    </row>
    <row r="44" spans="1:15" s="92" customFormat="1" ht="18" customHeight="1">
      <c r="A44" s="165"/>
      <c r="B44" s="366"/>
      <c r="C44" s="367"/>
      <c r="D44" s="360"/>
      <c r="E44" s="361"/>
      <c r="F44" s="361"/>
      <c r="G44" s="362"/>
      <c r="H44" s="199"/>
      <c r="I44" s="181"/>
      <c r="J44" s="182"/>
      <c r="K44" s="319">
        <f t="shared" si="0"/>
        <v>0</v>
      </c>
      <c r="L44" s="155"/>
      <c r="M44" s="155"/>
      <c r="N44" s="155"/>
      <c r="O44" s="50"/>
    </row>
    <row r="45" spans="1:15" ht="18" customHeight="1" thickBot="1">
      <c r="A45" s="165"/>
      <c r="B45" s="395"/>
      <c r="C45" s="396"/>
      <c r="D45" s="363"/>
      <c r="E45" s="364"/>
      <c r="F45" s="364"/>
      <c r="G45" s="365"/>
      <c r="H45" s="199"/>
      <c r="I45" s="181"/>
      <c r="J45" s="182"/>
      <c r="K45" s="319">
        <f t="shared" si="0"/>
        <v>0</v>
      </c>
      <c r="L45" s="155"/>
      <c r="M45" s="155"/>
      <c r="N45" s="155"/>
      <c r="O45" s="50"/>
    </row>
    <row r="46" spans="1:15" ht="18" customHeight="1" thickTop="1" thickBot="1">
      <c r="A46" s="165"/>
      <c r="B46" s="397"/>
      <c r="C46" s="398"/>
      <c r="D46" s="357" t="s">
        <v>118</v>
      </c>
      <c r="E46" s="358"/>
      <c r="F46" s="358"/>
      <c r="G46" s="359"/>
      <c r="H46" s="187"/>
      <c r="I46" s="188"/>
      <c r="J46" s="189"/>
      <c r="K46" s="320">
        <f>SUM(K14:K45)</f>
        <v>0</v>
      </c>
      <c r="L46" s="155"/>
      <c r="M46" s="155"/>
      <c r="N46" s="155"/>
      <c r="O46" s="50"/>
    </row>
    <row r="47" spans="1:15" ht="18" customHeight="1" thickBot="1">
      <c r="A47" s="160"/>
      <c r="B47" s="315"/>
      <c r="C47" s="315"/>
      <c r="D47" s="160"/>
      <c r="E47" s="160"/>
      <c r="F47" s="160"/>
      <c r="G47" s="160"/>
      <c r="H47" s="316"/>
      <c r="I47" s="235"/>
      <c r="J47" s="236"/>
      <c r="K47" s="236"/>
      <c r="L47" s="154"/>
      <c r="M47" s="154"/>
      <c r="N47" s="154"/>
      <c r="O47" s="50"/>
    </row>
    <row r="48" spans="1:15" ht="18" customHeight="1">
      <c r="A48" s="164"/>
      <c r="B48" s="386" t="s">
        <v>115</v>
      </c>
      <c r="C48" s="387"/>
      <c r="D48" s="190" t="s">
        <v>120</v>
      </c>
      <c r="E48" s="191"/>
      <c r="F48" s="191"/>
      <c r="G48" s="192"/>
      <c r="H48" s="317" t="s">
        <v>43</v>
      </c>
      <c r="I48" s="194" t="s">
        <v>5</v>
      </c>
      <c r="J48" s="195" t="s">
        <v>35</v>
      </c>
      <c r="K48" s="196" t="s">
        <v>28</v>
      </c>
      <c r="L48" s="155"/>
      <c r="M48" s="155"/>
      <c r="N48" s="155"/>
      <c r="O48" s="50"/>
    </row>
    <row r="49" spans="1:15" ht="18" customHeight="1">
      <c r="A49" s="165"/>
      <c r="B49" s="366"/>
      <c r="C49" s="367"/>
      <c r="D49" s="360"/>
      <c r="E49" s="361"/>
      <c r="F49" s="361"/>
      <c r="G49" s="362"/>
      <c r="H49" s="199"/>
      <c r="I49" s="181"/>
      <c r="J49" s="182"/>
      <c r="K49" s="319">
        <f>H49*J49</f>
        <v>0</v>
      </c>
      <c r="L49" s="156"/>
      <c r="M49" s="155"/>
      <c r="N49" s="155"/>
      <c r="O49" s="50"/>
    </row>
    <row r="50" spans="1:15" ht="18" customHeight="1">
      <c r="A50" s="165"/>
      <c r="B50" s="366"/>
      <c r="C50" s="367"/>
      <c r="D50" s="360"/>
      <c r="E50" s="361"/>
      <c r="F50" s="361"/>
      <c r="G50" s="362"/>
      <c r="H50" s="199"/>
      <c r="I50" s="181"/>
      <c r="J50" s="182"/>
      <c r="K50" s="319">
        <f t="shared" ref="K50:K86" si="1">H50*J50</f>
        <v>0</v>
      </c>
      <c r="L50" s="155"/>
      <c r="M50" s="155"/>
      <c r="N50" s="155"/>
    </row>
    <row r="51" spans="1:15" ht="18" customHeight="1">
      <c r="A51" s="165"/>
      <c r="B51" s="366"/>
      <c r="C51" s="367"/>
      <c r="D51" s="360"/>
      <c r="E51" s="361"/>
      <c r="F51" s="361"/>
      <c r="G51" s="362"/>
      <c r="H51" s="199"/>
      <c r="I51" s="181"/>
      <c r="J51" s="182"/>
      <c r="K51" s="319">
        <f t="shared" si="1"/>
        <v>0</v>
      </c>
      <c r="L51" s="177"/>
      <c r="M51" s="155"/>
      <c r="N51" s="155"/>
    </row>
    <row r="52" spans="1:15" ht="18" customHeight="1">
      <c r="A52" s="165"/>
      <c r="B52" s="366"/>
      <c r="C52" s="367"/>
      <c r="D52" s="360"/>
      <c r="E52" s="361"/>
      <c r="F52" s="361"/>
      <c r="G52" s="362"/>
      <c r="H52" s="199"/>
      <c r="I52" s="181"/>
      <c r="J52" s="182"/>
      <c r="K52" s="319">
        <f t="shared" si="1"/>
        <v>0</v>
      </c>
      <c r="L52" s="155"/>
      <c r="M52" s="155"/>
      <c r="N52" s="155"/>
    </row>
    <row r="53" spans="1:15" ht="18" customHeight="1">
      <c r="A53" s="165"/>
      <c r="B53" s="366"/>
      <c r="C53" s="367"/>
      <c r="D53" s="360"/>
      <c r="E53" s="361"/>
      <c r="F53" s="361"/>
      <c r="G53" s="362"/>
      <c r="H53" s="199"/>
      <c r="I53" s="181"/>
      <c r="J53" s="182"/>
      <c r="K53" s="319">
        <f t="shared" si="1"/>
        <v>0</v>
      </c>
      <c r="L53" s="155"/>
      <c r="M53" s="155"/>
      <c r="N53" s="155"/>
    </row>
    <row r="54" spans="1:15" ht="18" customHeight="1">
      <c r="A54" s="165"/>
      <c r="B54" s="366"/>
      <c r="C54" s="367"/>
      <c r="D54" s="354"/>
      <c r="E54" s="355"/>
      <c r="F54" s="355"/>
      <c r="G54" s="356"/>
      <c r="H54" s="199"/>
      <c r="I54" s="181"/>
      <c r="J54" s="182"/>
      <c r="K54" s="319">
        <f t="shared" si="1"/>
        <v>0</v>
      </c>
      <c r="L54" s="155"/>
      <c r="M54" s="155"/>
      <c r="N54" s="155"/>
    </row>
    <row r="55" spans="1:15" ht="18" customHeight="1">
      <c r="A55" s="165"/>
      <c r="B55" s="366"/>
      <c r="C55" s="367"/>
      <c r="D55" s="360"/>
      <c r="E55" s="361"/>
      <c r="F55" s="361"/>
      <c r="G55" s="362"/>
      <c r="H55" s="199"/>
      <c r="I55" s="181"/>
      <c r="J55" s="182"/>
      <c r="K55" s="319">
        <f t="shared" si="1"/>
        <v>0</v>
      </c>
      <c r="L55" s="155"/>
      <c r="M55" s="155"/>
      <c r="N55" s="155"/>
    </row>
    <row r="56" spans="1:15" ht="18" customHeight="1">
      <c r="A56" s="165"/>
      <c r="B56" s="366"/>
      <c r="C56" s="367"/>
      <c r="D56" s="360"/>
      <c r="E56" s="361"/>
      <c r="F56" s="361"/>
      <c r="G56" s="362"/>
      <c r="H56" s="199"/>
      <c r="I56" s="181"/>
      <c r="J56" s="182"/>
      <c r="K56" s="319">
        <f t="shared" si="1"/>
        <v>0</v>
      </c>
      <c r="L56" s="155"/>
      <c r="M56" s="155"/>
      <c r="N56" s="155"/>
    </row>
    <row r="57" spans="1:15" ht="18" customHeight="1">
      <c r="A57" s="165"/>
      <c r="B57" s="366"/>
      <c r="C57" s="367"/>
      <c r="D57" s="360"/>
      <c r="E57" s="361"/>
      <c r="F57" s="361"/>
      <c r="G57" s="362"/>
      <c r="H57" s="199"/>
      <c r="I57" s="181"/>
      <c r="J57" s="182"/>
      <c r="K57" s="319">
        <f t="shared" si="1"/>
        <v>0</v>
      </c>
      <c r="L57" s="155"/>
      <c r="M57" s="155"/>
      <c r="N57" s="155"/>
    </row>
    <row r="58" spans="1:15" ht="18" customHeight="1">
      <c r="A58" s="165"/>
      <c r="B58" s="366"/>
      <c r="C58" s="367"/>
      <c r="D58" s="360"/>
      <c r="E58" s="361"/>
      <c r="F58" s="361"/>
      <c r="G58" s="362"/>
      <c r="H58" s="199"/>
      <c r="I58" s="184"/>
      <c r="J58" s="182"/>
      <c r="K58" s="319">
        <f t="shared" si="1"/>
        <v>0</v>
      </c>
      <c r="L58" s="155"/>
      <c r="M58" s="155"/>
      <c r="N58" s="155"/>
    </row>
    <row r="59" spans="1:15" ht="18" customHeight="1">
      <c r="A59" s="165"/>
      <c r="B59" s="366"/>
      <c r="C59" s="367"/>
      <c r="D59" s="360"/>
      <c r="E59" s="361"/>
      <c r="F59" s="361"/>
      <c r="G59" s="362"/>
      <c r="H59" s="199"/>
      <c r="I59" s="181"/>
      <c r="J59" s="182"/>
      <c r="K59" s="319">
        <f t="shared" si="1"/>
        <v>0</v>
      </c>
      <c r="L59" s="155"/>
      <c r="M59" s="155"/>
      <c r="N59" s="155"/>
    </row>
    <row r="60" spans="1:15" ht="18" customHeight="1">
      <c r="A60" s="165"/>
      <c r="B60" s="366"/>
      <c r="C60" s="367"/>
      <c r="D60" s="360"/>
      <c r="E60" s="361"/>
      <c r="F60" s="361"/>
      <c r="G60" s="362"/>
      <c r="H60" s="199"/>
      <c r="I60" s="181"/>
      <c r="J60" s="182"/>
      <c r="K60" s="319">
        <f t="shared" si="1"/>
        <v>0</v>
      </c>
      <c r="L60" s="155"/>
      <c r="M60" s="155"/>
      <c r="N60" s="155"/>
    </row>
    <row r="61" spans="1:15" ht="18" customHeight="1">
      <c r="A61" s="165"/>
      <c r="B61" s="366"/>
      <c r="C61" s="367"/>
      <c r="D61" s="360"/>
      <c r="E61" s="361"/>
      <c r="F61" s="361"/>
      <c r="G61" s="362"/>
      <c r="H61" s="199"/>
      <c r="I61" s="181"/>
      <c r="J61" s="182"/>
      <c r="K61" s="319">
        <f t="shared" si="1"/>
        <v>0</v>
      </c>
      <c r="L61" s="155"/>
      <c r="M61" s="155"/>
      <c r="N61" s="155"/>
    </row>
    <row r="62" spans="1:15" ht="18" customHeight="1">
      <c r="A62" s="165"/>
      <c r="B62" s="366"/>
      <c r="C62" s="367"/>
      <c r="D62" s="360"/>
      <c r="E62" s="361"/>
      <c r="F62" s="361"/>
      <c r="G62" s="362"/>
      <c r="H62" s="199"/>
      <c r="I62" s="181"/>
      <c r="J62" s="182"/>
      <c r="K62" s="319">
        <f t="shared" si="1"/>
        <v>0</v>
      </c>
      <c r="L62" s="155"/>
      <c r="M62" s="155"/>
      <c r="N62" s="155"/>
    </row>
    <row r="63" spans="1:15" ht="18" customHeight="1">
      <c r="A63" s="165"/>
      <c r="B63" s="366"/>
      <c r="C63" s="367"/>
      <c r="D63" s="360"/>
      <c r="E63" s="361"/>
      <c r="F63" s="361"/>
      <c r="G63" s="362"/>
      <c r="H63" s="199"/>
      <c r="I63" s="181"/>
      <c r="J63" s="182"/>
      <c r="K63" s="319">
        <f t="shared" si="1"/>
        <v>0</v>
      </c>
      <c r="L63" s="155"/>
      <c r="M63" s="155"/>
      <c r="N63" s="155"/>
    </row>
    <row r="64" spans="1:15" ht="18" customHeight="1">
      <c r="A64" s="165"/>
      <c r="B64" s="366"/>
      <c r="C64" s="367"/>
      <c r="D64" s="360"/>
      <c r="E64" s="361"/>
      <c r="F64" s="361"/>
      <c r="G64" s="362"/>
      <c r="H64" s="199"/>
      <c r="I64" s="181"/>
      <c r="J64" s="182"/>
      <c r="K64" s="319">
        <f t="shared" si="1"/>
        <v>0</v>
      </c>
      <c r="L64" s="155"/>
      <c r="M64" s="155"/>
      <c r="N64" s="155"/>
    </row>
    <row r="65" spans="1:14" ht="18" customHeight="1">
      <c r="A65" s="165"/>
      <c r="B65" s="366"/>
      <c r="C65" s="367"/>
      <c r="D65" s="360"/>
      <c r="E65" s="361"/>
      <c r="F65" s="361"/>
      <c r="G65" s="362"/>
      <c r="H65" s="199"/>
      <c r="I65" s="181"/>
      <c r="J65" s="182"/>
      <c r="K65" s="319">
        <f t="shared" si="1"/>
        <v>0</v>
      </c>
      <c r="L65" s="155"/>
      <c r="M65" s="155"/>
      <c r="N65" s="155"/>
    </row>
    <row r="66" spans="1:14" ht="18" customHeight="1">
      <c r="A66" s="165"/>
      <c r="B66" s="366"/>
      <c r="C66" s="367"/>
      <c r="D66" s="360"/>
      <c r="E66" s="361"/>
      <c r="F66" s="361"/>
      <c r="G66" s="362"/>
      <c r="H66" s="199"/>
      <c r="I66" s="181"/>
      <c r="J66" s="182"/>
      <c r="K66" s="319">
        <f t="shared" si="1"/>
        <v>0</v>
      </c>
      <c r="L66" s="155"/>
      <c r="M66" s="155"/>
      <c r="N66" s="155"/>
    </row>
    <row r="67" spans="1:14" ht="18" customHeight="1">
      <c r="A67" s="165"/>
      <c r="B67" s="366"/>
      <c r="C67" s="367"/>
      <c r="D67" s="360"/>
      <c r="E67" s="361"/>
      <c r="F67" s="361"/>
      <c r="G67" s="362"/>
      <c r="H67" s="199"/>
      <c r="I67" s="181"/>
      <c r="J67" s="182"/>
      <c r="K67" s="319">
        <f t="shared" si="1"/>
        <v>0</v>
      </c>
      <c r="L67" s="155"/>
      <c r="M67" s="155"/>
      <c r="N67" s="155"/>
    </row>
    <row r="68" spans="1:14" ht="18" customHeight="1">
      <c r="A68" s="165"/>
      <c r="B68" s="366"/>
      <c r="C68" s="367"/>
      <c r="D68" s="360"/>
      <c r="E68" s="361"/>
      <c r="F68" s="361"/>
      <c r="G68" s="362"/>
      <c r="H68" s="199"/>
      <c r="I68" s="181"/>
      <c r="J68" s="182"/>
      <c r="K68" s="319">
        <f t="shared" si="1"/>
        <v>0</v>
      </c>
      <c r="L68" s="155"/>
      <c r="M68" s="155"/>
      <c r="N68" s="155"/>
    </row>
    <row r="69" spans="1:14" ht="18" customHeight="1">
      <c r="A69" s="165"/>
      <c r="B69" s="366"/>
      <c r="C69" s="367"/>
      <c r="D69" s="360"/>
      <c r="E69" s="361"/>
      <c r="F69" s="361"/>
      <c r="G69" s="362"/>
      <c r="H69" s="199"/>
      <c r="I69" s="181"/>
      <c r="J69" s="182"/>
      <c r="K69" s="319">
        <f t="shared" si="1"/>
        <v>0</v>
      </c>
      <c r="L69" s="155"/>
      <c r="M69" s="155"/>
      <c r="N69" s="155"/>
    </row>
    <row r="70" spans="1:14" ht="18" customHeight="1">
      <c r="A70" s="165"/>
      <c r="B70" s="366"/>
      <c r="C70" s="367"/>
      <c r="D70" s="360"/>
      <c r="E70" s="361"/>
      <c r="F70" s="361"/>
      <c r="G70" s="362"/>
      <c r="H70" s="199"/>
      <c r="I70" s="181"/>
      <c r="J70" s="182"/>
      <c r="K70" s="319">
        <f t="shared" si="1"/>
        <v>0</v>
      </c>
      <c r="L70" s="155"/>
      <c r="M70" s="155"/>
      <c r="N70" s="155"/>
    </row>
    <row r="71" spans="1:14" ht="18" customHeight="1">
      <c r="A71" s="165"/>
      <c r="B71" s="366"/>
      <c r="C71" s="367"/>
      <c r="D71" s="360"/>
      <c r="E71" s="361"/>
      <c r="F71" s="361"/>
      <c r="G71" s="362"/>
      <c r="H71" s="199"/>
      <c r="I71" s="181"/>
      <c r="J71" s="182"/>
      <c r="K71" s="319">
        <f t="shared" si="1"/>
        <v>0</v>
      </c>
      <c r="L71" s="155"/>
      <c r="M71" s="155"/>
      <c r="N71" s="155"/>
    </row>
    <row r="72" spans="1:14" ht="18" customHeight="1">
      <c r="A72" s="165"/>
      <c r="B72" s="366"/>
      <c r="C72" s="367"/>
      <c r="D72" s="360"/>
      <c r="E72" s="361"/>
      <c r="F72" s="361"/>
      <c r="G72" s="362"/>
      <c r="H72" s="199"/>
      <c r="I72" s="181"/>
      <c r="J72" s="182"/>
      <c r="K72" s="319">
        <f t="shared" si="1"/>
        <v>0</v>
      </c>
      <c r="L72" s="155"/>
      <c r="M72" s="155"/>
      <c r="N72" s="155"/>
    </row>
    <row r="73" spans="1:14" ht="18" customHeight="1">
      <c r="A73" s="165"/>
      <c r="B73" s="366"/>
      <c r="C73" s="367"/>
      <c r="D73" s="360"/>
      <c r="E73" s="361"/>
      <c r="F73" s="361"/>
      <c r="G73" s="362"/>
      <c r="H73" s="199"/>
      <c r="I73" s="181"/>
      <c r="J73" s="182"/>
      <c r="K73" s="319">
        <f t="shared" si="1"/>
        <v>0</v>
      </c>
      <c r="L73" s="155"/>
      <c r="M73" s="155"/>
      <c r="N73" s="155"/>
    </row>
    <row r="74" spans="1:14" s="92" customFormat="1" ht="18" customHeight="1">
      <c r="A74" s="165"/>
      <c r="B74" s="366"/>
      <c r="C74" s="367"/>
      <c r="D74" s="360"/>
      <c r="E74" s="361"/>
      <c r="F74" s="361"/>
      <c r="G74" s="362"/>
      <c r="H74" s="199"/>
      <c r="I74" s="181"/>
      <c r="J74" s="182"/>
      <c r="K74" s="319">
        <f t="shared" si="1"/>
        <v>0</v>
      </c>
      <c r="L74" s="155"/>
      <c r="M74" s="155"/>
      <c r="N74" s="155"/>
    </row>
    <row r="75" spans="1:14" s="92" customFormat="1" ht="18" customHeight="1">
      <c r="A75" s="165"/>
      <c r="B75" s="366"/>
      <c r="C75" s="367"/>
      <c r="D75" s="360"/>
      <c r="E75" s="361"/>
      <c r="F75" s="361"/>
      <c r="G75" s="362"/>
      <c r="H75" s="199"/>
      <c r="I75" s="181"/>
      <c r="J75" s="182"/>
      <c r="K75" s="319">
        <f t="shared" si="1"/>
        <v>0</v>
      </c>
      <c r="L75" s="155"/>
      <c r="M75" s="155"/>
      <c r="N75" s="155"/>
    </row>
    <row r="76" spans="1:14" s="92" customFormat="1" ht="18" customHeight="1">
      <c r="A76" s="165"/>
      <c r="B76" s="366"/>
      <c r="C76" s="367"/>
      <c r="D76" s="360"/>
      <c r="E76" s="361"/>
      <c r="F76" s="361"/>
      <c r="G76" s="362"/>
      <c r="H76" s="199"/>
      <c r="I76" s="181"/>
      <c r="J76" s="182"/>
      <c r="K76" s="319">
        <f t="shared" si="1"/>
        <v>0</v>
      </c>
      <c r="L76" s="155"/>
      <c r="M76" s="155"/>
      <c r="N76" s="155"/>
    </row>
    <row r="77" spans="1:14" s="92" customFormat="1" ht="18" customHeight="1">
      <c r="A77" s="165"/>
      <c r="B77" s="366"/>
      <c r="C77" s="367"/>
      <c r="D77" s="360"/>
      <c r="E77" s="361"/>
      <c r="F77" s="361"/>
      <c r="G77" s="362"/>
      <c r="H77" s="199"/>
      <c r="I77" s="181"/>
      <c r="J77" s="182"/>
      <c r="K77" s="319">
        <f t="shared" si="1"/>
        <v>0</v>
      </c>
      <c r="L77" s="155"/>
      <c r="M77" s="155"/>
      <c r="N77" s="155"/>
    </row>
    <row r="78" spans="1:14" s="92" customFormat="1" ht="18" customHeight="1">
      <c r="A78" s="165"/>
      <c r="B78" s="366"/>
      <c r="C78" s="367"/>
      <c r="D78" s="360"/>
      <c r="E78" s="361"/>
      <c r="F78" s="361"/>
      <c r="G78" s="362"/>
      <c r="H78" s="199"/>
      <c r="I78" s="181"/>
      <c r="J78" s="182"/>
      <c r="K78" s="319">
        <f t="shared" si="1"/>
        <v>0</v>
      </c>
      <c r="L78" s="155"/>
      <c r="M78" s="155"/>
      <c r="N78" s="155"/>
    </row>
    <row r="79" spans="1:14" s="92" customFormat="1" ht="18" customHeight="1">
      <c r="A79" s="165"/>
      <c r="B79" s="366"/>
      <c r="C79" s="367"/>
      <c r="D79" s="360"/>
      <c r="E79" s="361"/>
      <c r="F79" s="361"/>
      <c r="G79" s="362"/>
      <c r="H79" s="199"/>
      <c r="I79" s="181"/>
      <c r="J79" s="182"/>
      <c r="K79" s="319">
        <f t="shared" si="1"/>
        <v>0</v>
      </c>
      <c r="L79" s="155"/>
      <c r="M79" s="155"/>
      <c r="N79" s="155"/>
    </row>
    <row r="80" spans="1:14" s="92" customFormat="1" ht="18" customHeight="1">
      <c r="A80" s="165"/>
      <c r="B80" s="366"/>
      <c r="C80" s="367"/>
      <c r="D80" s="360"/>
      <c r="E80" s="361"/>
      <c r="F80" s="361"/>
      <c r="G80" s="362"/>
      <c r="H80" s="199"/>
      <c r="I80" s="181"/>
      <c r="J80" s="182"/>
      <c r="K80" s="319">
        <f t="shared" si="1"/>
        <v>0</v>
      </c>
      <c r="L80" s="155"/>
      <c r="M80" s="155"/>
      <c r="N80" s="155"/>
    </row>
    <row r="81" spans="1:14" s="92" customFormat="1" ht="18" customHeight="1">
      <c r="A81" s="165"/>
      <c r="B81" s="366"/>
      <c r="C81" s="367"/>
      <c r="D81" s="360"/>
      <c r="E81" s="361"/>
      <c r="F81" s="361"/>
      <c r="G81" s="362"/>
      <c r="H81" s="199"/>
      <c r="I81" s="181"/>
      <c r="J81" s="182"/>
      <c r="K81" s="319">
        <f t="shared" si="1"/>
        <v>0</v>
      </c>
      <c r="L81" s="155"/>
      <c r="M81" s="155"/>
      <c r="N81" s="155"/>
    </row>
    <row r="82" spans="1:14" s="92" customFormat="1" ht="18" customHeight="1">
      <c r="A82" s="165"/>
      <c r="B82" s="366"/>
      <c r="C82" s="367"/>
      <c r="D82" s="360"/>
      <c r="E82" s="361"/>
      <c r="F82" s="361"/>
      <c r="G82" s="362"/>
      <c r="H82" s="199"/>
      <c r="I82" s="181"/>
      <c r="J82" s="182"/>
      <c r="K82" s="319">
        <f t="shared" si="1"/>
        <v>0</v>
      </c>
      <c r="L82" s="155"/>
      <c r="M82" s="155"/>
      <c r="N82" s="155"/>
    </row>
    <row r="83" spans="1:14" s="92" customFormat="1" ht="18" customHeight="1">
      <c r="A83" s="165"/>
      <c r="B83" s="366"/>
      <c r="C83" s="367"/>
      <c r="D83" s="360"/>
      <c r="E83" s="361"/>
      <c r="F83" s="361"/>
      <c r="G83" s="362"/>
      <c r="H83" s="199"/>
      <c r="I83" s="181"/>
      <c r="J83" s="182"/>
      <c r="K83" s="319">
        <f t="shared" si="1"/>
        <v>0</v>
      </c>
      <c r="L83" s="155"/>
      <c r="M83" s="155"/>
      <c r="N83" s="155"/>
    </row>
    <row r="84" spans="1:14" ht="18" customHeight="1">
      <c r="A84" s="165"/>
      <c r="B84" s="366"/>
      <c r="C84" s="367"/>
      <c r="D84" s="360"/>
      <c r="E84" s="361"/>
      <c r="F84" s="361"/>
      <c r="G84" s="362"/>
      <c r="H84" s="199"/>
      <c r="I84" s="181"/>
      <c r="J84" s="182"/>
      <c r="K84" s="319">
        <f t="shared" si="1"/>
        <v>0</v>
      </c>
      <c r="L84" s="155"/>
      <c r="M84" s="155"/>
      <c r="N84" s="155"/>
    </row>
    <row r="85" spans="1:14" s="92" customFormat="1" ht="18" customHeight="1">
      <c r="A85" s="165"/>
      <c r="B85" s="366"/>
      <c r="C85" s="367"/>
      <c r="D85" s="360"/>
      <c r="E85" s="361"/>
      <c r="F85" s="361"/>
      <c r="G85" s="362"/>
      <c r="H85" s="199">
        <v>1</v>
      </c>
      <c r="I85" s="181"/>
      <c r="J85" s="182"/>
      <c r="K85" s="319">
        <f t="shared" si="1"/>
        <v>0</v>
      </c>
      <c r="L85" s="155"/>
      <c r="M85" s="155"/>
      <c r="N85" s="155"/>
    </row>
    <row r="86" spans="1:14" ht="18" customHeight="1" thickBot="1">
      <c r="A86" s="165"/>
      <c r="B86" s="395"/>
      <c r="C86" s="396"/>
      <c r="D86" s="363"/>
      <c r="E86" s="364"/>
      <c r="F86" s="364"/>
      <c r="G86" s="365"/>
      <c r="H86" s="203"/>
      <c r="I86" s="204"/>
      <c r="J86" s="318"/>
      <c r="K86" s="321">
        <f t="shared" si="1"/>
        <v>0</v>
      </c>
      <c r="L86" s="155"/>
      <c r="M86" s="155"/>
      <c r="N86" s="155"/>
    </row>
    <row r="87" spans="1:14" ht="18" customHeight="1" thickTop="1">
      <c r="A87" s="165"/>
      <c r="B87" s="388"/>
      <c r="C87" s="389"/>
      <c r="D87" s="197"/>
      <c r="E87" s="198"/>
      <c r="F87" s="198"/>
      <c r="G87" s="205" t="s">
        <v>119</v>
      </c>
      <c r="H87" s="206"/>
      <c r="I87" s="185"/>
      <c r="J87" s="207"/>
      <c r="K87" s="208">
        <f>SUM(K49:K86)</f>
        <v>0</v>
      </c>
      <c r="L87" s="155"/>
      <c r="M87" s="155"/>
      <c r="N87" s="155"/>
    </row>
    <row r="88" spans="1:14" ht="13.5" customHeight="1">
      <c r="A88" s="165"/>
      <c r="B88" s="231"/>
      <c r="C88" s="232"/>
      <c r="D88" s="201"/>
      <c r="E88" s="202"/>
      <c r="F88" s="202"/>
      <c r="G88" s="209" t="s">
        <v>116</v>
      </c>
      <c r="H88" s="199"/>
      <c r="I88" s="181"/>
      <c r="J88" s="200"/>
      <c r="K88" s="183">
        <f>K46+K87</f>
        <v>0</v>
      </c>
      <c r="L88" s="155"/>
      <c r="M88" s="155"/>
      <c r="N88" s="155"/>
    </row>
    <row r="89" spans="1:14" ht="13.5" customHeight="1">
      <c r="A89" s="165"/>
      <c r="B89" s="210"/>
      <c r="C89" s="211"/>
      <c r="D89" s="212"/>
      <c r="E89" s="213"/>
      <c r="F89" s="213"/>
      <c r="G89" s="214" t="s">
        <v>117</v>
      </c>
      <c r="H89" s="215">
        <v>10</v>
      </c>
      <c r="I89" s="216" t="s">
        <v>57</v>
      </c>
      <c r="J89" s="217"/>
      <c r="K89" s="218">
        <f>K88*0.1</f>
        <v>0</v>
      </c>
      <c r="L89" s="155"/>
      <c r="M89" s="155"/>
      <c r="N89" s="155"/>
    </row>
    <row r="90" spans="1:14" ht="13.5" customHeight="1" thickBot="1">
      <c r="A90" s="165"/>
      <c r="B90" s="393"/>
      <c r="C90" s="394"/>
      <c r="D90" s="219"/>
      <c r="E90" s="220"/>
      <c r="F90" s="220"/>
      <c r="G90" s="221" t="s">
        <v>109</v>
      </c>
      <c r="H90" s="222"/>
      <c r="I90" s="223"/>
      <c r="J90" s="224"/>
      <c r="K90" s="225"/>
      <c r="L90" s="155"/>
      <c r="M90" s="155"/>
      <c r="N90" s="155"/>
    </row>
    <row r="91" spans="1:14" ht="13.5" customHeight="1" thickBot="1">
      <c r="A91" s="165"/>
      <c r="B91" s="226" t="s">
        <v>59</v>
      </c>
      <c r="C91" s="227"/>
      <c r="D91" s="390" t="s">
        <v>60</v>
      </c>
      <c r="E91" s="391"/>
      <c r="F91" s="391"/>
      <c r="G91" s="392"/>
      <c r="H91" s="228"/>
      <c r="I91" s="228"/>
      <c r="J91" s="229"/>
      <c r="K91" s="230">
        <f>SUM(K88:K90)</f>
        <v>0</v>
      </c>
      <c r="L91" s="155"/>
      <c r="M91" s="155"/>
      <c r="N91" s="155"/>
    </row>
    <row r="92" spans="1:14" ht="13.5" customHeight="1">
      <c r="A92" s="165"/>
      <c r="B92" s="174"/>
      <c r="C92" s="166"/>
      <c r="D92" s="166"/>
      <c r="E92" s="166"/>
      <c r="F92" s="166"/>
      <c r="G92" s="166"/>
      <c r="H92" s="166"/>
      <c r="I92" s="166"/>
      <c r="J92" s="166"/>
      <c r="K92" s="166"/>
      <c r="L92" s="155"/>
      <c r="M92" s="155"/>
      <c r="N92" s="155"/>
    </row>
    <row r="93" spans="1:14" ht="13.5" customHeight="1">
      <c r="A93" s="165"/>
      <c r="B93" s="175"/>
      <c r="C93" s="167"/>
      <c r="D93" s="167"/>
      <c r="E93" s="167"/>
      <c r="F93" s="167"/>
      <c r="G93" s="167"/>
      <c r="H93" s="167"/>
      <c r="I93" s="166"/>
      <c r="J93" s="167"/>
      <c r="K93" s="167"/>
      <c r="L93" s="155"/>
      <c r="M93" s="155"/>
      <c r="N93" s="155"/>
    </row>
    <row r="94" spans="1:14" ht="13.5" customHeight="1">
      <c r="A94" s="165"/>
      <c r="B94" s="171"/>
      <c r="C94" s="153"/>
      <c r="D94" s="153"/>
      <c r="E94" s="153"/>
      <c r="F94" s="153"/>
      <c r="G94" s="153"/>
      <c r="H94" s="153"/>
      <c r="I94" s="179"/>
      <c r="J94" s="153"/>
      <c r="K94" s="153"/>
      <c r="L94" s="155"/>
      <c r="M94" s="155"/>
      <c r="N94" s="155"/>
    </row>
    <row r="95" spans="1:14" ht="13.5" customHeight="1">
      <c r="A95" s="165"/>
      <c r="B95" s="171"/>
      <c r="C95" s="153"/>
      <c r="D95" s="153"/>
      <c r="E95" s="153"/>
      <c r="F95" s="153"/>
      <c r="G95" s="153"/>
      <c r="H95" s="153"/>
      <c r="I95" s="179"/>
      <c r="J95" s="153"/>
      <c r="K95" s="153"/>
      <c r="L95" s="155"/>
      <c r="M95" s="155"/>
      <c r="N95" s="155"/>
    </row>
    <row r="96" spans="1:14" ht="13.5" customHeight="1">
      <c r="A96" s="165"/>
      <c r="B96" s="171"/>
      <c r="C96" s="153"/>
      <c r="D96" s="153"/>
      <c r="E96" s="153"/>
      <c r="F96" s="153"/>
      <c r="G96" s="153"/>
      <c r="H96" s="153"/>
      <c r="I96" s="179"/>
      <c r="J96" s="153"/>
      <c r="K96" s="153"/>
      <c r="L96" s="155"/>
      <c r="M96" s="155"/>
      <c r="N96" s="155"/>
    </row>
    <row r="97" spans="2:11" ht="13.5" customHeight="1">
      <c r="B97" s="94"/>
      <c r="C97" s="95"/>
      <c r="D97" s="95"/>
      <c r="E97" s="95"/>
      <c r="F97" s="95"/>
      <c r="G97" s="95"/>
      <c r="H97" s="95"/>
      <c r="I97" s="95"/>
      <c r="J97" s="95"/>
      <c r="K97" s="95"/>
    </row>
    <row r="98" spans="2:11" ht="13.5" customHeight="1">
      <c r="B98" s="94"/>
      <c r="C98" s="95"/>
      <c r="D98" s="95"/>
      <c r="E98" s="95"/>
      <c r="F98" s="95"/>
      <c r="G98" s="95"/>
      <c r="H98" s="95"/>
      <c r="I98" s="95"/>
      <c r="J98" s="95"/>
      <c r="K98" s="95"/>
    </row>
    <row r="99" spans="2:11" ht="13.5" customHeight="1">
      <c r="B99" s="94"/>
      <c r="C99" s="95"/>
      <c r="D99" s="95"/>
      <c r="E99" s="95"/>
      <c r="F99" s="95"/>
      <c r="G99" s="95"/>
      <c r="H99" s="95"/>
      <c r="I99" s="95"/>
      <c r="J99" s="95"/>
      <c r="K99" s="95"/>
    </row>
    <row r="100" spans="2:11" ht="13.5" customHeight="1">
      <c r="B100" s="94"/>
      <c r="C100" s="95"/>
      <c r="D100" s="95"/>
      <c r="E100" s="95"/>
      <c r="F100" s="95"/>
      <c r="G100" s="95"/>
      <c r="H100" s="95"/>
      <c r="I100" s="95"/>
      <c r="J100" s="95"/>
      <c r="K100" s="95"/>
    </row>
    <row r="101" spans="2:11" ht="13.5" customHeight="1">
      <c r="B101" s="94"/>
      <c r="C101" s="95"/>
      <c r="D101" s="95"/>
      <c r="E101" s="95"/>
      <c r="F101" s="95"/>
      <c r="G101" s="95"/>
      <c r="H101" s="95"/>
      <c r="I101" s="95"/>
      <c r="J101" s="95"/>
      <c r="K101" s="95"/>
    </row>
    <row r="102" spans="2:11" ht="13.5" customHeight="1">
      <c r="B102" s="94"/>
      <c r="C102" s="95"/>
      <c r="D102" s="95"/>
      <c r="E102" s="95"/>
      <c r="F102" s="95"/>
      <c r="G102" s="95"/>
      <c r="H102" s="95"/>
      <c r="I102" s="95"/>
      <c r="J102" s="95"/>
      <c r="K102" s="95"/>
    </row>
    <row r="103" spans="2:11" ht="13.5" customHeight="1">
      <c r="B103" s="94"/>
      <c r="C103" s="95"/>
      <c r="D103" s="95"/>
      <c r="E103" s="95"/>
      <c r="F103" s="95"/>
      <c r="G103" s="95"/>
      <c r="H103" s="95"/>
      <c r="I103" s="95"/>
      <c r="J103" s="95"/>
      <c r="K103" s="95"/>
    </row>
    <row r="104" spans="2:11" ht="13.5" customHeight="1">
      <c r="B104" s="94"/>
      <c r="C104" s="95"/>
      <c r="D104" s="95"/>
      <c r="E104" s="95"/>
      <c r="F104" s="95"/>
      <c r="G104" s="95"/>
      <c r="H104" s="95"/>
      <c r="I104" s="95"/>
      <c r="J104" s="95"/>
      <c r="K104" s="95"/>
    </row>
    <row r="105" spans="2:11" ht="13.5" customHeight="1">
      <c r="B105" s="94"/>
      <c r="C105" s="95"/>
      <c r="D105" s="95"/>
      <c r="E105" s="95"/>
      <c r="F105" s="95"/>
      <c r="G105" s="95"/>
      <c r="H105" s="95"/>
      <c r="I105" s="95"/>
      <c r="J105" s="95"/>
      <c r="K105" s="95"/>
    </row>
    <row r="106" spans="2:11" ht="13.5" customHeight="1">
      <c r="B106" s="94"/>
      <c r="C106" s="95"/>
      <c r="D106" s="95"/>
      <c r="E106" s="95"/>
      <c r="F106" s="95"/>
      <c r="G106" s="95"/>
      <c r="H106" s="95"/>
      <c r="I106" s="95"/>
      <c r="J106" s="95"/>
      <c r="K106" s="95"/>
    </row>
    <row r="107" spans="2:11" ht="13.5" customHeight="1">
      <c r="B107" s="94"/>
      <c r="C107" s="95"/>
      <c r="D107" s="95"/>
      <c r="E107" s="95"/>
      <c r="F107" s="95"/>
      <c r="G107" s="95"/>
      <c r="H107" s="95"/>
      <c r="I107" s="95"/>
      <c r="J107" s="95"/>
      <c r="K107" s="95"/>
    </row>
    <row r="108" spans="2:11" ht="15.75" customHeight="1">
      <c r="B108" s="95"/>
      <c r="C108" s="95"/>
      <c r="D108" s="95"/>
      <c r="E108" s="95"/>
      <c r="F108" s="95"/>
      <c r="G108" s="95"/>
      <c r="H108" s="95"/>
      <c r="I108" s="95"/>
      <c r="J108" s="95"/>
      <c r="K108" s="95"/>
    </row>
    <row r="109" spans="2:11" ht="15.75" customHeight="1">
      <c r="B109" s="95"/>
      <c r="C109" s="95"/>
      <c r="D109" s="95"/>
      <c r="E109" s="95"/>
      <c r="F109" s="95"/>
      <c r="G109" s="95"/>
      <c r="H109" s="95"/>
      <c r="I109" s="95"/>
      <c r="J109" s="95"/>
      <c r="K109" s="95"/>
    </row>
    <row r="110" spans="2:11" ht="15.75" customHeight="1">
      <c r="B110" s="95"/>
      <c r="C110" s="95"/>
      <c r="D110" s="95"/>
      <c r="E110" s="95"/>
      <c r="F110" s="95"/>
      <c r="G110" s="95"/>
      <c r="H110" s="95"/>
      <c r="I110" s="95"/>
      <c r="J110" s="95"/>
      <c r="K110" s="95"/>
    </row>
    <row r="111" spans="2:11" ht="15.75" customHeight="1">
      <c r="B111" s="95"/>
      <c r="C111" s="95"/>
      <c r="D111" s="95"/>
      <c r="E111" s="95"/>
      <c r="F111" s="95"/>
      <c r="G111" s="95"/>
      <c r="H111" s="95"/>
      <c r="I111" s="95"/>
      <c r="J111" s="95"/>
      <c r="K111" s="95"/>
    </row>
    <row r="112" spans="2:11" ht="15.75" customHeight="1">
      <c r="B112" s="95"/>
      <c r="C112" s="95"/>
      <c r="D112" s="95"/>
      <c r="E112" s="95"/>
      <c r="F112" s="95"/>
      <c r="G112" s="95"/>
      <c r="H112" s="95"/>
      <c r="I112" s="95"/>
      <c r="J112" s="95"/>
      <c r="K112" s="95"/>
    </row>
    <row r="113" spans="2:11" ht="15.75" customHeight="1">
      <c r="B113" s="95"/>
      <c r="C113" s="95"/>
      <c r="D113" s="95"/>
      <c r="E113" s="95"/>
      <c r="F113" s="95"/>
      <c r="G113" s="95"/>
      <c r="H113" s="95"/>
      <c r="I113" s="95"/>
      <c r="J113" s="95"/>
      <c r="K113" s="95"/>
    </row>
    <row r="114" spans="2:11" ht="15.75" customHeight="1">
      <c r="B114" s="95"/>
      <c r="C114" s="95"/>
      <c r="D114" s="95"/>
      <c r="E114" s="95"/>
      <c r="F114" s="95"/>
      <c r="G114" s="95"/>
      <c r="H114" s="95"/>
      <c r="I114" s="95"/>
      <c r="J114" s="95"/>
      <c r="K114" s="95"/>
    </row>
    <row r="115" spans="2:11" ht="15.75" customHeight="1">
      <c r="B115" s="95"/>
      <c r="C115" s="95"/>
      <c r="D115" s="95"/>
      <c r="E115" s="95"/>
      <c r="F115" s="95"/>
      <c r="G115" s="95"/>
      <c r="H115" s="95"/>
      <c r="I115" s="95"/>
      <c r="J115" s="95"/>
      <c r="K115" s="95"/>
    </row>
    <row r="116" spans="2:11" ht="15.75" customHeight="1">
      <c r="B116" s="95"/>
      <c r="C116" s="95"/>
      <c r="D116" s="95"/>
      <c r="E116" s="95"/>
      <c r="F116" s="95"/>
      <c r="G116" s="95"/>
      <c r="H116" s="95"/>
      <c r="I116" s="95"/>
      <c r="J116" s="95"/>
      <c r="K116" s="95"/>
    </row>
    <row r="117" spans="2:11" ht="15.75" customHeight="1">
      <c r="B117" s="95"/>
      <c r="C117" s="95"/>
      <c r="D117" s="95"/>
      <c r="E117" s="95"/>
      <c r="F117" s="95"/>
      <c r="G117" s="95"/>
      <c r="H117" s="95"/>
      <c r="I117" s="95"/>
      <c r="J117" s="95"/>
      <c r="K117" s="95"/>
    </row>
    <row r="118" spans="2:11" ht="15.75" customHeight="1">
      <c r="B118" s="95"/>
      <c r="C118" s="95"/>
      <c r="D118" s="95"/>
      <c r="E118" s="95"/>
      <c r="F118" s="95"/>
      <c r="G118" s="95"/>
      <c r="H118" s="95"/>
      <c r="I118" s="95"/>
      <c r="J118" s="95"/>
      <c r="K118" s="95"/>
    </row>
    <row r="119" spans="2:11" ht="15.75" customHeight="1">
      <c r="B119" s="95"/>
      <c r="C119" s="95"/>
      <c r="D119" s="95"/>
      <c r="E119" s="95"/>
      <c r="F119" s="95"/>
      <c r="G119" s="95"/>
      <c r="H119" s="95"/>
      <c r="I119" s="95"/>
      <c r="J119" s="95"/>
      <c r="K119" s="95"/>
    </row>
    <row r="120" spans="2:11" ht="15.75" customHeight="1">
      <c r="B120" s="95"/>
      <c r="C120" s="95"/>
      <c r="D120" s="95"/>
      <c r="E120" s="95"/>
      <c r="F120" s="95"/>
      <c r="G120" s="95"/>
      <c r="H120" s="95"/>
      <c r="I120" s="95"/>
      <c r="J120" s="95"/>
      <c r="K120" s="95"/>
    </row>
    <row r="121" spans="2:11" ht="15.75" customHeight="1">
      <c r="B121" s="95"/>
      <c r="C121" s="95"/>
      <c r="D121" s="95"/>
      <c r="E121" s="95"/>
      <c r="F121" s="95"/>
      <c r="G121" s="95"/>
      <c r="H121" s="95"/>
      <c r="I121" s="95"/>
      <c r="J121" s="95"/>
      <c r="K121" s="95"/>
    </row>
    <row r="122" spans="2:11" ht="15.75" customHeight="1">
      <c r="B122" s="95"/>
      <c r="C122" s="95"/>
      <c r="D122" s="95"/>
      <c r="E122" s="95"/>
      <c r="F122" s="95"/>
      <c r="G122" s="95"/>
      <c r="H122" s="95"/>
      <c r="I122" s="95"/>
      <c r="J122" s="95"/>
      <c r="K122" s="95"/>
    </row>
    <row r="123" spans="2:11" ht="15.75" customHeight="1">
      <c r="B123" s="95"/>
      <c r="C123" s="95"/>
      <c r="D123" s="95"/>
      <c r="E123" s="95"/>
      <c r="F123" s="95"/>
      <c r="G123" s="95"/>
      <c r="H123" s="95"/>
      <c r="I123" s="95"/>
      <c r="J123" s="95"/>
      <c r="K123" s="95"/>
    </row>
    <row r="124" spans="2:11" ht="15.75" customHeight="1">
      <c r="B124" s="95"/>
      <c r="C124" s="95"/>
      <c r="D124" s="95"/>
      <c r="E124" s="95"/>
      <c r="F124" s="95"/>
      <c r="G124" s="95"/>
      <c r="H124" s="95"/>
      <c r="I124" s="95"/>
      <c r="J124" s="95"/>
      <c r="K124" s="95"/>
    </row>
    <row r="125" spans="2:11" ht="15.75" customHeight="1">
      <c r="B125" s="95"/>
      <c r="C125" s="95"/>
      <c r="D125" s="95"/>
      <c r="E125" s="95"/>
      <c r="F125" s="95"/>
      <c r="G125" s="95"/>
      <c r="H125" s="95"/>
      <c r="I125" s="95"/>
      <c r="J125" s="95"/>
      <c r="K125" s="95"/>
    </row>
    <row r="126" spans="2:11" ht="15.75" customHeight="1">
      <c r="B126" s="95"/>
      <c r="C126" s="95"/>
      <c r="D126" s="95"/>
      <c r="E126" s="95"/>
      <c r="F126" s="95"/>
      <c r="G126" s="95"/>
      <c r="H126" s="95"/>
      <c r="I126" s="95"/>
      <c r="J126" s="95"/>
      <c r="K126" s="95"/>
    </row>
    <row r="127" spans="2:11" ht="15.75" customHeight="1">
      <c r="B127" s="95"/>
      <c r="C127" s="95"/>
      <c r="D127" s="95"/>
      <c r="E127" s="95"/>
      <c r="F127" s="95"/>
      <c r="G127" s="95"/>
      <c r="H127" s="95"/>
      <c r="I127" s="95"/>
      <c r="J127" s="95"/>
      <c r="K127" s="95"/>
    </row>
    <row r="128" spans="2:11" ht="15.75" customHeight="1">
      <c r="B128" s="95"/>
      <c r="C128" s="95"/>
      <c r="D128" s="95"/>
      <c r="E128" s="95"/>
      <c r="F128" s="95"/>
      <c r="G128" s="95"/>
      <c r="H128" s="95"/>
      <c r="I128" s="95"/>
      <c r="J128" s="95"/>
      <c r="K128" s="95"/>
    </row>
    <row r="129" spans="2:11" ht="15.75" customHeight="1">
      <c r="B129" s="95"/>
      <c r="C129" s="95"/>
      <c r="D129" s="95"/>
      <c r="E129" s="95"/>
      <c r="F129" s="95"/>
      <c r="G129" s="95"/>
      <c r="H129" s="95"/>
      <c r="I129" s="95"/>
      <c r="J129" s="95"/>
      <c r="K129" s="95"/>
    </row>
    <row r="130" spans="2:11" ht="15.75" customHeight="1">
      <c r="B130" s="95"/>
      <c r="C130" s="95"/>
      <c r="D130" s="95"/>
      <c r="E130" s="95"/>
      <c r="F130" s="95"/>
      <c r="G130" s="95"/>
      <c r="H130" s="95"/>
      <c r="I130" s="95"/>
      <c r="J130" s="95"/>
      <c r="K130" s="95"/>
    </row>
    <row r="131" spans="2:11" ht="15.75" customHeight="1">
      <c r="B131" s="95"/>
      <c r="C131" s="95"/>
      <c r="D131" s="95"/>
      <c r="E131" s="95"/>
      <c r="F131" s="95"/>
      <c r="G131" s="95"/>
      <c r="H131" s="95"/>
      <c r="I131" s="95"/>
      <c r="J131" s="95"/>
      <c r="K131" s="95"/>
    </row>
    <row r="132" spans="2:11" ht="15.75" customHeight="1">
      <c r="B132" s="95"/>
      <c r="C132" s="95"/>
      <c r="D132" s="95"/>
      <c r="E132" s="95"/>
      <c r="F132" s="95"/>
      <c r="G132" s="95"/>
      <c r="H132" s="95"/>
      <c r="I132" s="95"/>
      <c r="J132" s="95"/>
      <c r="K132" s="95"/>
    </row>
    <row r="133" spans="2:11" ht="15.75" customHeight="1">
      <c r="B133" s="95"/>
      <c r="C133" s="95"/>
      <c r="D133" s="95"/>
      <c r="E133" s="95"/>
      <c r="F133" s="95"/>
      <c r="G133" s="95"/>
      <c r="H133" s="95"/>
      <c r="I133" s="95"/>
      <c r="J133" s="95"/>
      <c r="K133" s="95"/>
    </row>
    <row r="134" spans="2:11" ht="15.75" customHeight="1">
      <c r="B134" s="95"/>
      <c r="C134" s="95"/>
      <c r="D134" s="95"/>
      <c r="E134" s="95"/>
      <c r="F134" s="95"/>
      <c r="G134" s="95"/>
      <c r="H134" s="95"/>
      <c r="I134" s="95"/>
      <c r="J134" s="95"/>
      <c r="K134" s="95"/>
    </row>
    <row r="135" spans="2:11" ht="15.75" customHeight="1">
      <c r="B135" s="95"/>
      <c r="C135" s="95"/>
      <c r="D135" s="95"/>
      <c r="E135" s="95"/>
      <c r="F135" s="95"/>
      <c r="G135" s="95"/>
      <c r="H135" s="95"/>
      <c r="I135" s="95"/>
      <c r="J135" s="95"/>
      <c r="K135" s="95"/>
    </row>
    <row r="136" spans="2:11" ht="15.75" customHeight="1">
      <c r="B136" s="95"/>
      <c r="C136" s="95"/>
      <c r="D136" s="95"/>
      <c r="E136" s="95"/>
      <c r="F136" s="95"/>
      <c r="G136" s="95"/>
      <c r="H136" s="95"/>
      <c r="I136" s="95"/>
      <c r="J136" s="95"/>
      <c r="K136" s="95"/>
    </row>
    <row r="137" spans="2:11" ht="15.75" customHeight="1">
      <c r="B137" s="95"/>
      <c r="C137" s="95"/>
      <c r="D137" s="95"/>
      <c r="E137" s="95"/>
      <c r="F137" s="95"/>
      <c r="G137" s="95"/>
      <c r="H137" s="95"/>
      <c r="I137" s="95"/>
      <c r="J137" s="95"/>
      <c r="K137" s="95"/>
    </row>
    <row r="138" spans="2:11" ht="15.75" customHeight="1">
      <c r="B138" s="95"/>
      <c r="C138" s="95"/>
      <c r="D138" s="95"/>
      <c r="E138" s="95"/>
      <c r="F138" s="95"/>
      <c r="G138" s="95"/>
      <c r="H138" s="95"/>
      <c r="I138" s="95"/>
      <c r="J138" s="95"/>
      <c r="K138" s="95"/>
    </row>
    <row r="139" spans="2:11" ht="15.75" customHeight="1">
      <c r="B139" s="95"/>
      <c r="C139" s="95"/>
      <c r="D139" s="95"/>
      <c r="E139" s="95"/>
      <c r="F139" s="95"/>
      <c r="G139" s="95"/>
      <c r="H139" s="95"/>
      <c r="I139" s="95"/>
      <c r="J139" s="95"/>
      <c r="K139" s="95"/>
    </row>
    <row r="140" spans="2:11" ht="15.75" customHeight="1">
      <c r="B140" s="95"/>
      <c r="C140" s="95"/>
      <c r="D140" s="95"/>
      <c r="E140" s="95"/>
      <c r="F140" s="95"/>
      <c r="G140" s="95"/>
      <c r="H140" s="95"/>
      <c r="I140" s="95"/>
      <c r="J140" s="95"/>
      <c r="K140" s="95"/>
    </row>
    <row r="141" spans="2:11" ht="15.75" customHeight="1">
      <c r="B141" s="95"/>
      <c r="C141" s="95"/>
      <c r="D141" s="95"/>
      <c r="E141" s="95"/>
      <c r="F141" s="95"/>
      <c r="G141" s="95"/>
      <c r="H141" s="95"/>
      <c r="I141" s="95"/>
      <c r="J141" s="95"/>
      <c r="K141" s="95"/>
    </row>
    <row r="142" spans="2:11" ht="15.75" customHeight="1">
      <c r="B142" s="95"/>
      <c r="C142" s="95"/>
      <c r="D142" s="95"/>
      <c r="E142" s="95"/>
      <c r="F142" s="95"/>
      <c r="G142" s="95"/>
      <c r="H142" s="95"/>
      <c r="I142" s="95"/>
      <c r="J142" s="95"/>
      <c r="K142" s="95"/>
    </row>
    <row r="143" spans="2:11" ht="15.75" customHeight="1">
      <c r="B143" s="95"/>
      <c r="C143" s="95"/>
      <c r="D143" s="95"/>
      <c r="E143" s="95"/>
      <c r="F143" s="95"/>
      <c r="G143" s="95"/>
      <c r="H143" s="95"/>
      <c r="I143" s="95"/>
      <c r="J143" s="95"/>
      <c r="K143" s="95"/>
    </row>
    <row r="144" spans="2:11" ht="15.75" customHeight="1">
      <c r="B144" s="95"/>
      <c r="C144" s="95"/>
      <c r="D144" s="95"/>
      <c r="E144" s="95"/>
      <c r="F144" s="95"/>
      <c r="G144" s="95"/>
      <c r="H144" s="95"/>
      <c r="I144" s="95"/>
      <c r="J144" s="95"/>
      <c r="K144" s="95"/>
    </row>
    <row r="145" spans="2:11" ht="15.75" customHeight="1">
      <c r="B145" s="95"/>
      <c r="C145" s="95"/>
      <c r="D145" s="95"/>
      <c r="E145" s="95"/>
      <c r="F145" s="95"/>
      <c r="G145" s="95"/>
      <c r="H145" s="95"/>
      <c r="I145" s="95"/>
      <c r="J145" s="95"/>
      <c r="K145" s="95"/>
    </row>
    <row r="146" spans="2:11" ht="15.75" customHeight="1">
      <c r="B146" s="95"/>
      <c r="C146" s="95"/>
      <c r="D146" s="95"/>
      <c r="E146" s="95"/>
      <c r="F146" s="95"/>
      <c r="G146" s="95"/>
      <c r="H146" s="95"/>
      <c r="I146" s="95"/>
      <c r="J146" s="95"/>
      <c r="K146" s="95"/>
    </row>
    <row r="147" spans="2:11" ht="15.75" customHeight="1">
      <c r="B147" s="95"/>
      <c r="C147" s="95"/>
      <c r="D147" s="95"/>
      <c r="E147" s="95"/>
      <c r="F147" s="95"/>
      <c r="G147" s="95"/>
      <c r="H147" s="95"/>
      <c r="I147" s="95"/>
      <c r="J147" s="95"/>
      <c r="K147" s="95"/>
    </row>
    <row r="148" spans="2:11" ht="15.75" customHeight="1">
      <c r="B148" s="95"/>
      <c r="C148" s="95"/>
      <c r="D148" s="95"/>
      <c r="E148" s="95"/>
      <c r="F148" s="95"/>
      <c r="G148" s="95"/>
      <c r="H148" s="95"/>
      <c r="I148" s="95"/>
      <c r="J148" s="95"/>
      <c r="K148" s="95"/>
    </row>
    <row r="149" spans="2:11" ht="15.75" customHeight="1">
      <c r="B149" s="95"/>
      <c r="C149" s="95"/>
      <c r="D149" s="95"/>
      <c r="E149" s="95"/>
      <c r="F149" s="95"/>
      <c r="G149" s="95"/>
      <c r="H149" s="95"/>
      <c r="I149" s="95"/>
      <c r="J149" s="95"/>
      <c r="K149" s="95"/>
    </row>
    <row r="150" spans="2:11" ht="15.75" customHeight="1">
      <c r="B150" s="95"/>
      <c r="C150" s="95"/>
      <c r="D150" s="95"/>
      <c r="E150" s="95"/>
      <c r="F150" s="95"/>
      <c r="G150" s="95"/>
      <c r="H150" s="95"/>
      <c r="I150" s="95"/>
      <c r="J150" s="95"/>
      <c r="K150" s="95"/>
    </row>
    <row r="151" spans="2:11" ht="15.75" customHeight="1">
      <c r="B151" s="95"/>
      <c r="C151" s="95"/>
      <c r="D151" s="95"/>
      <c r="E151" s="95"/>
      <c r="F151" s="95"/>
      <c r="G151" s="95"/>
      <c r="H151" s="95"/>
      <c r="I151" s="95"/>
      <c r="J151" s="95"/>
      <c r="K151" s="95"/>
    </row>
    <row r="152" spans="2:11" ht="15.75" customHeight="1">
      <c r="B152" s="95"/>
      <c r="C152" s="95"/>
      <c r="D152" s="95"/>
      <c r="E152" s="95"/>
      <c r="F152" s="95"/>
      <c r="G152" s="95"/>
      <c r="H152" s="95"/>
      <c r="I152" s="95"/>
      <c r="J152" s="95"/>
      <c r="K152" s="95"/>
    </row>
    <row r="153" spans="2:11" ht="15.75" customHeight="1">
      <c r="B153" s="95"/>
      <c r="C153" s="95"/>
      <c r="D153" s="95"/>
      <c r="E153" s="95"/>
      <c r="F153" s="95"/>
      <c r="G153" s="95"/>
      <c r="H153" s="95"/>
      <c r="I153" s="95"/>
      <c r="J153" s="95"/>
      <c r="K153" s="95"/>
    </row>
    <row r="154" spans="2:11" ht="15.75" customHeight="1">
      <c r="B154" s="95"/>
      <c r="C154" s="95"/>
      <c r="D154" s="95"/>
      <c r="E154" s="95"/>
      <c r="F154" s="95"/>
      <c r="G154" s="95"/>
      <c r="H154" s="95"/>
      <c r="I154" s="95"/>
      <c r="J154" s="95"/>
      <c r="K154" s="95"/>
    </row>
    <row r="155" spans="2:11" ht="15.75" customHeight="1">
      <c r="B155" s="95"/>
      <c r="C155" s="95"/>
      <c r="D155" s="95"/>
      <c r="E155" s="95"/>
      <c r="F155" s="95"/>
      <c r="G155" s="95"/>
      <c r="H155" s="95"/>
      <c r="I155" s="95"/>
      <c r="J155" s="95"/>
      <c r="K155" s="95"/>
    </row>
    <row r="156" spans="2:11" ht="15.75" customHeight="1">
      <c r="B156" s="95"/>
      <c r="C156" s="95"/>
      <c r="D156" s="95"/>
      <c r="E156" s="95"/>
      <c r="F156" s="95"/>
      <c r="G156" s="95"/>
      <c r="H156" s="95"/>
      <c r="I156" s="95"/>
      <c r="J156" s="95"/>
      <c r="K156" s="95"/>
    </row>
    <row r="157" spans="2:11" ht="15.75" customHeight="1">
      <c r="B157" s="95"/>
      <c r="C157" s="95"/>
      <c r="D157" s="95"/>
      <c r="E157" s="95"/>
      <c r="F157" s="95"/>
      <c r="G157" s="95"/>
      <c r="H157" s="95"/>
      <c r="I157" s="95"/>
      <c r="J157" s="95"/>
      <c r="K157" s="95"/>
    </row>
    <row r="158" spans="2:11" ht="15.75" customHeight="1">
      <c r="B158" s="95"/>
      <c r="C158" s="95"/>
      <c r="D158" s="95"/>
      <c r="E158" s="95"/>
      <c r="F158" s="95"/>
      <c r="G158" s="95"/>
      <c r="H158" s="95"/>
      <c r="I158" s="95"/>
      <c r="J158" s="95"/>
      <c r="K158" s="95"/>
    </row>
    <row r="159" spans="2:11" ht="15.75" customHeight="1">
      <c r="B159" s="95"/>
      <c r="C159" s="95"/>
      <c r="D159" s="95"/>
      <c r="E159" s="95"/>
      <c r="F159" s="95"/>
      <c r="G159" s="95"/>
      <c r="H159" s="95"/>
      <c r="I159" s="95"/>
      <c r="J159" s="95"/>
      <c r="K159" s="95"/>
    </row>
    <row r="160" spans="2:11" ht="15.75" customHeight="1">
      <c r="B160" s="95"/>
      <c r="C160" s="95"/>
      <c r="D160" s="95"/>
      <c r="E160" s="95"/>
      <c r="F160" s="95"/>
      <c r="G160" s="95"/>
      <c r="H160" s="95"/>
      <c r="I160" s="95"/>
      <c r="J160" s="95"/>
      <c r="K160" s="95"/>
    </row>
    <row r="161" spans="2:11" ht="15.75" customHeight="1">
      <c r="B161" s="95"/>
      <c r="C161" s="95"/>
      <c r="D161" s="95"/>
      <c r="E161" s="95"/>
      <c r="F161" s="95"/>
      <c r="G161" s="95"/>
      <c r="H161" s="95"/>
      <c r="I161" s="95"/>
      <c r="J161" s="95"/>
      <c r="K161" s="95"/>
    </row>
    <row r="162" spans="2:11" ht="15.75" customHeight="1">
      <c r="B162" s="95"/>
      <c r="C162" s="95"/>
      <c r="D162" s="95"/>
      <c r="E162" s="95"/>
      <c r="F162" s="95"/>
      <c r="G162" s="95"/>
      <c r="H162" s="95"/>
      <c r="I162" s="95"/>
      <c r="J162" s="95"/>
      <c r="K162" s="95"/>
    </row>
    <row r="163" spans="2:11" ht="15.75" customHeight="1">
      <c r="B163" s="95"/>
      <c r="C163" s="95"/>
      <c r="D163" s="95"/>
      <c r="E163" s="95"/>
      <c r="F163" s="95"/>
      <c r="G163" s="95"/>
      <c r="H163" s="95"/>
      <c r="I163" s="95"/>
      <c r="J163" s="95"/>
      <c r="K163" s="95"/>
    </row>
    <row r="164" spans="2:11" ht="15.75" customHeight="1">
      <c r="B164" s="95"/>
      <c r="C164" s="95"/>
      <c r="D164" s="95"/>
      <c r="E164" s="95"/>
      <c r="F164" s="95"/>
      <c r="G164" s="95"/>
      <c r="H164" s="95"/>
      <c r="I164" s="95"/>
      <c r="J164" s="95"/>
      <c r="K164" s="95"/>
    </row>
    <row r="165" spans="2:11" ht="15.75" customHeight="1">
      <c r="B165" s="95"/>
      <c r="C165" s="95"/>
      <c r="D165" s="95"/>
      <c r="E165" s="95"/>
      <c r="F165" s="95"/>
      <c r="G165" s="95"/>
      <c r="H165" s="95"/>
      <c r="I165" s="95"/>
      <c r="J165" s="95"/>
      <c r="K165" s="95"/>
    </row>
    <row r="166" spans="2:11" ht="15.75" customHeight="1">
      <c r="B166" s="95"/>
      <c r="C166" s="95"/>
      <c r="D166" s="95"/>
      <c r="E166" s="95"/>
      <c r="F166" s="95"/>
      <c r="G166" s="95"/>
      <c r="H166" s="95"/>
      <c r="I166" s="95"/>
      <c r="J166" s="95"/>
      <c r="K166" s="95"/>
    </row>
    <row r="167" spans="2:11" ht="15.75" customHeight="1">
      <c r="B167" s="95"/>
      <c r="C167" s="95"/>
      <c r="D167" s="95"/>
      <c r="E167" s="95"/>
      <c r="F167" s="95"/>
      <c r="G167" s="95"/>
      <c r="H167" s="95"/>
      <c r="I167" s="95"/>
      <c r="J167" s="95"/>
      <c r="K167" s="95"/>
    </row>
    <row r="168" spans="2:11" ht="15.75" customHeight="1">
      <c r="B168" s="95"/>
      <c r="C168" s="95"/>
      <c r="D168" s="95"/>
      <c r="E168" s="95"/>
      <c r="F168" s="95"/>
      <c r="G168" s="95"/>
      <c r="H168" s="95"/>
      <c r="I168" s="95"/>
      <c r="J168" s="95"/>
      <c r="K168" s="95"/>
    </row>
    <row r="169" spans="2:11" ht="15.75" customHeight="1">
      <c r="B169" s="95"/>
      <c r="C169" s="95"/>
      <c r="D169" s="95"/>
      <c r="E169" s="95"/>
      <c r="F169" s="95"/>
      <c r="G169" s="95"/>
      <c r="H169" s="95"/>
      <c r="I169" s="95"/>
      <c r="J169" s="95"/>
      <c r="K169" s="95"/>
    </row>
    <row r="170" spans="2:11" ht="15.75" customHeight="1">
      <c r="B170" s="95"/>
      <c r="C170" s="95"/>
      <c r="D170" s="95"/>
      <c r="E170" s="95"/>
      <c r="F170" s="95"/>
      <c r="G170" s="95"/>
      <c r="H170" s="95"/>
      <c r="I170" s="95"/>
      <c r="J170" s="95"/>
      <c r="K170" s="95"/>
    </row>
    <row r="171" spans="2:11" ht="15.75" customHeight="1">
      <c r="B171" s="95"/>
      <c r="C171" s="95"/>
      <c r="D171" s="95"/>
      <c r="E171" s="95"/>
      <c r="F171" s="95"/>
      <c r="G171" s="95"/>
      <c r="H171" s="95"/>
      <c r="I171" s="95"/>
      <c r="J171" s="95"/>
      <c r="K171" s="95"/>
    </row>
    <row r="172" spans="2:11" ht="15.75" customHeight="1">
      <c r="B172" s="95"/>
      <c r="C172" s="95"/>
      <c r="D172" s="95"/>
      <c r="E172" s="95"/>
      <c r="F172" s="95"/>
      <c r="G172" s="95"/>
      <c r="H172" s="95"/>
      <c r="I172" s="95"/>
      <c r="J172" s="95"/>
      <c r="K172" s="95"/>
    </row>
    <row r="173" spans="2:11" ht="15.75" customHeight="1">
      <c r="B173" s="95"/>
      <c r="C173" s="95"/>
      <c r="D173" s="95"/>
      <c r="E173" s="95"/>
      <c r="F173" s="95"/>
      <c r="G173" s="95"/>
      <c r="H173" s="95"/>
      <c r="I173" s="95"/>
      <c r="J173" s="95"/>
      <c r="K173" s="95"/>
    </row>
    <row r="174" spans="2:11" ht="15.75" customHeight="1">
      <c r="B174" s="95"/>
      <c r="C174" s="95"/>
      <c r="D174" s="95"/>
      <c r="E174" s="95"/>
      <c r="F174" s="95"/>
      <c r="G174" s="95"/>
      <c r="H174" s="95"/>
      <c r="I174" s="95"/>
      <c r="J174" s="95"/>
      <c r="K174" s="95"/>
    </row>
    <row r="175" spans="2:11" ht="15.75" customHeight="1">
      <c r="B175" s="95"/>
      <c r="C175" s="95"/>
      <c r="D175" s="95"/>
      <c r="E175" s="95"/>
      <c r="F175" s="95"/>
      <c r="G175" s="95"/>
      <c r="H175" s="95"/>
      <c r="I175" s="95"/>
      <c r="J175" s="95"/>
      <c r="K175" s="95"/>
    </row>
    <row r="176" spans="2:11" ht="15.75" customHeight="1">
      <c r="B176" s="95"/>
      <c r="C176" s="95"/>
      <c r="D176" s="95"/>
      <c r="E176" s="95"/>
      <c r="F176" s="95"/>
      <c r="G176" s="95"/>
      <c r="H176" s="95"/>
      <c r="I176" s="95"/>
      <c r="J176" s="95"/>
      <c r="K176" s="95"/>
    </row>
    <row r="177" spans="2:11" ht="15.75" customHeight="1">
      <c r="B177" s="95"/>
      <c r="C177" s="95"/>
      <c r="D177" s="95"/>
      <c r="E177" s="95"/>
      <c r="F177" s="95"/>
      <c r="G177" s="95"/>
      <c r="H177" s="95"/>
      <c r="I177" s="95"/>
      <c r="J177" s="95"/>
      <c r="K177" s="95"/>
    </row>
    <row r="178" spans="2:11" ht="15.75" customHeight="1">
      <c r="B178" s="95"/>
      <c r="C178" s="95"/>
      <c r="D178" s="95"/>
      <c r="E178" s="95"/>
      <c r="F178" s="95"/>
      <c r="G178" s="95"/>
      <c r="H178" s="95"/>
      <c r="I178" s="95"/>
      <c r="J178" s="95"/>
      <c r="K178" s="95"/>
    </row>
    <row r="179" spans="2:11" ht="15.75" customHeight="1">
      <c r="B179" s="95"/>
      <c r="C179" s="95"/>
      <c r="D179" s="95"/>
      <c r="E179" s="95"/>
      <c r="F179" s="95"/>
      <c r="G179" s="95"/>
      <c r="H179" s="95"/>
      <c r="I179" s="95"/>
      <c r="J179" s="95"/>
      <c r="K179" s="95"/>
    </row>
    <row r="180" spans="2:11" ht="15.75" customHeight="1">
      <c r="B180" s="95"/>
      <c r="C180" s="95"/>
      <c r="D180" s="95"/>
      <c r="E180" s="95"/>
      <c r="F180" s="95"/>
      <c r="G180" s="95"/>
      <c r="H180" s="95"/>
      <c r="I180" s="95"/>
      <c r="J180" s="95"/>
      <c r="K180" s="95"/>
    </row>
    <row r="181" spans="2:11" ht="15.75" customHeight="1">
      <c r="B181" s="95"/>
      <c r="C181" s="95"/>
      <c r="D181" s="95"/>
      <c r="E181" s="95"/>
      <c r="F181" s="95"/>
      <c r="G181" s="95"/>
      <c r="H181" s="95"/>
      <c r="I181" s="95"/>
      <c r="J181" s="95"/>
      <c r="K181" s="95"/>
    </row>
    <row r="182" spans="2:11" ht="15.75" customHeight="1">
      <c r="B182" s="95"/>
      <c r="C182" s="95"/>
      <c r="D182" s="95"/>
      <c r="E182" s="95"/>
      <c r="F182" s="95"/>
      <c r="G182" s="95"/>
      <c r="H182" s="95"/>
      <c r="I182" s="95"/>
      <c r="J182" s="95"/>
      <c r="K182" s="95"/>
    </row>
    <row r="183" spans="2:11" ht="15.75" customHeight="1">
      <c r="B183" s="95"/>
      <c r="C183" s="95"/>
      <c r="D183" s="95"/>
      <c r="E183" s="95"/>
      <c r="F183" s="95"/>
      <c r="G183" s="95"/>
      <c r="H183" s="95"/>
      <c r="I183" s="95"/>
      <c r="J183" s="95"/>
      <c r="K183" s="95"/>
    </row>
    <row r="184" spans="2:11" ht="15.75" customHeight="1">
      <c r="B184" s="95"/>
      <c r="C184" s="95"/>
      <c r="D184" s="95"/>
      <c r="E184" s="95"/>
      <c r="F184" s="95"/>
      <c r="G184" s="95"/>
      <c r="H184" s="95"/>
      <c r="I184" s="95"/>
      <c r="J184" s="95"/>
      <c r="K184" s="95"/>
    </row>
    <row r="185" spans="2:11" ht="15.75" customHeight="1">
      <c r="B185" s="95"/>
      <c r="C185" s="95"/>
      <c r="D185" s="95"/>
      <c r="E185" s="95"/>
      <c r="F185" s="95"/>
      <c r="G185" s="95"/>
      <c r="H185" s="95"/>
      <c r="I185" s="95"/>
      <c r="J185" s="95"/>
      <c r="K185" s="95"/>
    </row>
    <row r="186" spans="2:11" ht="15.75" customHeight="1">
      <c r="B186" s="95"/>
      <c r="C186" s="95"/>
      <c r="D186" s="95"/>
      <c r="E186" s="95"/>
      <c r="F186" s="95"/>
      <c r="G186" s="95"/>
      <c r="H186" s="95"/>
      <c r="I186" s="95"/>
      <c r="J186" s="95"/>
      <c r="K186" s="95"/>
    </row>
    <row r="187" spans="2:11" ht="15.75" customHeight="1">
      <c r="B187" s="95"/>
      <c r="C187" s="95"/>
      <c r="D187" s="95"/>
      <c r="E187" s="95"/>
      <c r="F187" s="95"/>
      <c r="G187" s="95"/>
      <c r="H187" s="95"/>
      <c r="I187" s="95"/>
      <c r="J187" s="95"/>
      <c r="K187" s="95"/>
    </row>
    <row r="188" spans="2:11" ht="15.75" customHeight="1">
      <c r="B188" s="95"/>
      <c r="C188" s="95"/>
      <c r="D188" s="95"/>
      <c r="E188" s="95"/>
      <c r="F188" s="95"/>
      <c r="G188" s="95"/>
      <c r="H188" s="95"/>
      <c r="I188" s="95"/>
      <c r="J188" s="95"/>
      <c r="K188" s="95"/>
    </row>
    <row r="189" spans="2:11" ht="15.75" customHeight="1">
      <c r="B189" s="95"/>
      <c r="C189" s="95"/>
      <c r="D189" s="95"/>
      <c r="E189" s="95"/>
      <c r="F189" s="95"/>
      <c r="G189" s="95"/>
      <c r="H189" s="95"/>
      <c r="I189" s="95"/>
      <c r="J189" s="95"/>
      <c r="K189" s="95"/>
    </row>
    <row r="190" spans="2:11" ht="15.75" customHeight="1">
      <c r="B190" s="95"/>
      <c r="C190" s="95"/>
      <c r="D190" s="95"/>
      <c r="E190" s="95"/>
      <c r="F190" s="95"/>
      <c r="G190" s="95"/>
      <c r="H190" s="95"/>
      <c r="I190" s="95"/>
      <c r="J190" s="95"/>
      <c r="K190" s="95"/>
    </row>
    <row r="191" spans="2:11" ht="15.75" customHeight="1">
      <c r="B191" s="95"/>
      <c r="C191" s="95"/>
      <c r="D191" s="95"/>
      <c r="E191" s="95"/>
      <c r="F191" s="95"/>
      <c r="G191" s="95"/>
      <c r="H191" s="95"/>
      <c r="I191" s="95"/>
      <c r="J191" s="95"/>
      <c r="K191" s="95"/>
    </row>
    <row r="192" spans="2:11" ht="15.75" customHeight="1">
      <c r="B192" s="95"/>
      <c r="C192" s="95"/>
      <c r="D192" s="95"/>
      <c r="E192" s="95"/>
      <c r="F192" s="95"/>
      <c r="G192" s="95"/>
      <c r="H192" s="95"/>
      <c r="I192" s="95"/>
      <c r="J192" s="95"/>
      <c r="K192" s="95"/>
    </row>
    <row r="193" spans="2:11" ht="15.75" customHeight="1">
      <c r="B193" s="95"/>
      <c r="C193" s="95"/>
      <c r="D193" s="95"/>
      <c r="E193" s="95"/>
      <c r="F193" s="95"/>
      <c r="G193" s="95"/>
      <c r="H193" s="95"/>
      <c r="I193" s="95"/>
      <c r="J193" s="95"/>
      <c r="K193" s="95"/>
    </row>
    <row r="194" spans="2:11" ht="15.75" customHeight="1">
      <c r="B194" s="95"/>
      <c r="C194" s="95"/>
      <c r="D194" s="95"/>
      <c r="E194" s="95"/>
      <c r="F194" s="95"/>
      <c r="G194" s="95"/>
      <c r="H194" s="95"/>
      <c r="I194" s="95"/>
      <c r="J194" s="95"/>
      <c r="K194" s="95"/>
    </row>
    <row r="195" spans="2:11" ht="15.75" customHeight="1">
      <c r="B195" s="95"/>
      <c r="C195" s="95"/>
      <c r="D195" s="95"/>
      <c r="E195" s="95"/>
      <c r="F195" s="95"/>
      <c r="G195" s="95"/>
      <c r="H195" s="95"/>
      <c r="I195" s="95"/>
      <c r="J195" s="95"/>
      <c r="K195" s="95"/>
    </row>
    <row r="196" spans="2:11" ht="15.75" customHeight="1">
      <c r="B196" s="95"/>
      <c r="C196" s="95"/>
      <c r="D196" s="95"/>
      <c r="E196" s="95"/>
      <c r="F196" s="95"/>
      <c r="G196" s="95"/>
      <c r="H196" s="95"/>
      <c r="I196" s="95"/>
      <c r="J196" s="95"/>
      <c r="K196" s="95"/>
    </row>
    <row r="197" spans="2:11" ht="15.75" customHeight="1">
      <c r="B197" s="95"/>
      <c r="C197" s="95"/>
      <c r="D197" s="95"/>
      <c r="E197" s="95"/>
      <c r="F197" s="95"/>
      <c r="G197" s="95"/>
      <c r="H197" s="95"/>
      <c r="I197" s="95"/>
      <c r="J197" s="95"/>
      <c r="K197" s="95"/>
    </row>
    <row r="198" spans="2:11" ht="15.75" customHeight="1">
      <c r="B198" s="95"/>
      <c r="C198" s="95"/>
      <c r="D198" s="95"/>
      <c r="E198" s="95"/>
      <c r="F198" s="95"/>
      <c r="G198" s="95"/>
      <c r="H198" s="95"/>
      <c r="I198" s="95"/>
      <c r="J198" s="95"/>
      <c r="K198" s="95"/>
    </row>
    <row r="199" spans="2:11" ht="15.75" customHeight="1">
      <c r="B199" s="95"/>
      <c r="C199" s="95"/>
      <c r="D199" s="95"/>
      <c r="E199" s="95"/>
      <c r="F199" s="95"/>
      <c r="G199" s="95"/>
      <c r="H199" s="95"/>
      <c r="I199" s="95"/>
      <c r="J199" s="95"/>
      <c r="K199" s="95"/>
    </row>
    <row r="200" spans="2:11" ht="15.75" customHeight="1">
      <c r="B200" s="95"/>
      <c r="C200" s="95"/>
      <c r="D200" s="95"/>
      <c r="E200" s="95"/>
      <c r="F200" s="95"/>
      <c r="G200" s="95"/>
      <c r="H200" s="95"/>
      <c r="I200" s="95"/>
      <c r="J200" s="95"/>
      <c r="K200" s="95"/>
    </row>
    <row r="201" spans="2:11" ht="15.75" customHeight="1">
      <c r="B201" s="95"/>
      <c r="C201" s="95"/>
      <c r="D201" s="95"/>
      <c r="E201" s="95"/>
      <c r="F201" s="95"/>
      <c r="G201" s="95"/>
      <c r="H201" s="95"/>
      <c r="I201" s="95"/>
      <c r="J201" s="95"/>
      <c r="K201" s="95"/>
    </row>
    <row r="202" spans="2:11" ht="15.75" customHeight="1">
      <c r="B202" s="95"/>
      <c r="C202" s="95"/>
      <c r="D202" s="95"/>
      <c r="E202" s="95"/>
      <c r="F202" s="95"/>
      <c r="G202" s="95"/>
      <c r="H202" s="95"/>
      <c r="I202" s="95"/>
      <c r="J202" s="95"/>
      <c r="K202" s="95"/>
    </row>
    <row r="203" spans="2:11" ht="15.75" customHeight="1">
      <c r="B203" s="95"/>
      <c r="C203" s="95"/>
      <c r="D203" s="95"/>
      <c r="E203" s="95"/>
      <c r="F203" s="95"/>
      <c r="G203" s="95"/>
      <c r="H203" s="95"/>
      <c r="I203" s="95"/>
      <c r="J203" s="95"/>
      <c r="K203" s="95"/>
    </row>
    <row r="204" spans="2:11" ht="15.75" customHeight="1">
      <c r="B204" s="95"/>
      <c r="C204" s="95"/>
      <c r="D204" s="95"/>
      <c r="E204" s="95"/>
      <c r="F204" s="95"/>
      <c r="G204" s="95"/>
      <c r="H204" s="95"/>
      <c r="I204" s="95"/>
      <c r="J204" s="95"/>
      <c r="K204" s="95"/>
    </row>
    <row r="205" spans="2:11" ht="15.75" customHeight="1">
      <c r="B205" s="95"/>
      <c r="C205" s="95"/>
      <c r="D205" s="95"/>
      <c r="E205" s="95"/>
      <c r="F205" s="95"/>
      <c r="G205" s="95"/>
      <c r="H205" s="95"/>
      <c r="I205" s="95"/>
      <c r="J205" s="95"/>
      <c r="K205" s="95"/>
    </row>
    <row r="206" spans="2:11" ht="15.75" customHeight="1">
      <c r="B206" s="95"/>
      <c r="C206" s="95"/>
      <c r="D206" s="95"/>
      <c r="E206" s="95"/>
      <c r="F206" s="95"/>
      <c r="G206" s="95"/>
      <c r="H206" s="95"/>
      <c r="I206" s="95"/>
      <c r="J206" s="95"/>
      <c r="K206" s="95"/>
    </row>
    <row r="207" spans="2:11" ht="15.75" customHeight="1">
      <c r="B207" s="95"/>
      <c r="C207" s="95"/>
      <c r="D207" s="95"/>
      <c r="E207" s="95"/>
      <c r="F207" s="95"/>
      <c r="G207" s="95"/>
      <c r="H207" s="95"/>
      <c r="I207" s="95"/>
      <c r="J207" s="95"/>
      <c r="K207" s="95"/>
    </row>
    <row r="208" spans="2:11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60">
    <mergeCell ref="B32:C32"/>
    <mergeCell ref="B29:C29"/>
    <mergeCell ref="B45:C45"/>
    <mergeCell ref="B36:C36"/>
    <mergeCell ref="B34:C34"/>
    <mergeCell ref="B35:C35"/>
    <mergeCell ref="B42:C42"/>
    <mergeCell ref="B38:C38"/>
    <mergeCell ref="B67:C67"/>
    <mergeCell ref="B66:C66"/>
    <mergeCell ref="B73:C73"/>
    <mergeCell ref="B74:C74"/>
    <mergeCell ref="B65:C65"/>
    <mergeCell ref="B54:C54"/>
    <mergeCell ref="B37:C37"/>
    <mergeCell ref="B48:C48"/>
    <mergeCell ref="B46:C46"/>
    <mergeCell ref="B55:C55"/>
    <mergeCell ref="B52:C52"/>
    <mergeCell ref="B87:C87"/>
    <mergeCell ref="D91:G91"/>
    <mergeCell ref="B49:C49"/>
    <mergeCell ref="B61:C61"/>
    <mergeCell ref="B64:C64"/>
    <mergeCell ref="B68:C68"/>
    <mergeCell ref="B53:C53"/>
    <mergeCell ref="B50:C50"/>
    <mergeCell ref="B90:C90"/>
    <mergeCell ref="B81:C81"/>
    <mergeCell ref="B62:C62"/>
    <mergeCell ref="B58:C58"/>
    <mergeCell ref="B86:C86"/>
    <mergeCell ref="B79:C79"/>
    <mergeCell ref="B80:C80"/>
    <mergeCell ref="B85:C85"/>
    <mergeCell ref="B76:C76"/>
    <mergeCell ref="B77:C77"/>
    <mergeCell ref="B51:C51"/>
    <mergeCell ref="B70:C70"/>
    <mergeCell ref="B71:C71"/>
    <mergeCell ref="B75:C75"/>
    <mergeCell ref="B72:C72"/>
    <mergeCell ref="B69:C69"/>
    <mergeCell ref="I10:K10"/>
    <mergeCell ref="B20:C20"/>
    <mergeCell ref="B22:C22"/>
    <mergeCell ref="B23:C23"/>
    <mergeCell ref="B17:C17"/>
    <mergeCell ref="B18:C18"/>
    <mergeCell ref="B10:B11"/>
    <mergeCell ref="I11:K11"/>
    <mergeCell ref="B13:C13"/>
    <mergeCell ref="B14:C14"/>
    <mergeCell ref="D19:G19"/>
    <mergeCell ref="D20:G20"/>
    <mergeCell ref="D21:G21"/>
    <mergeCell ref="D22:G22"/>
    <mergeCell ref="D23:G23"/>
    <mergeCell ref="J1:K1"/>
    <mergeCell ref="B7:B8"/>
    <mergeCell ref="C7:G8"/>
    <mergeCell ref="B5:E5"/>
    <mergeCell ref="A3:K3"/>
    <mergeCell ref="I7:K7"/>
    <mergeCell ref="I8:K8"/>
    <mergeCell ref="B28:C28"/>
    <mergeCell ref="B30:C30"/>
    <mergeCell ref="C10:D11"/>
    <mergeCell ref="E10:E11"/>
    <mergeCell ref="B25:C25"/>
    <mergeCell ref="B21:C21"/>
    <mergeCell ref="B16:C16"/>
    <mergeCell ref="B24:C24"/>
    <mergeCell ref="B26:C26"/>
    <mergeCell ref="B27:C27"/>
    <mergeCell ref="D28:G28"/>
    <mergeCell ref="D14:G14"/>
    <mergeCell ref="D15:G15"/>
    <mergeCell ref="D16:G16"/>
    <mergeCell ref="D17:G17"/>
    <mergeCell ref="D18:G18"/>
    <mergeCell ref="I9:K9"/>
    <mergeCell ref="D24:G24"/>
    <mergeCell ref="D25:G25"/>
    <mergeCell ref="D26:G26"/>
    <mergeCell ref="D27:G27"/>
    <mergeCell ref="D29:G29"/>
    <mergeCell ref="B78:C78"/>
    <mergeCell ref="B15:C15"/>
    <mergeCell ref="B60:C60"/>
    <mergeCell ref="B84:C84"/>
    <mergeCell ref="B82:C82"/>
    <mergeCell ref="B83:C83"/>
    <mergeCell ref="B19:C19"/>
    <mergeCell ref="B31:C31"/>
    <mergeCell ref="B59:C59"/>
    <mergeCell ref="B56:C56"/>
    <mergeCell ref="B57:C57"/>
    <mergeCell ref="B41:C41"/>
    <mergeCell ref="B39:C39"/>
    <mergeCell ref="B33:C33"/>
    <mergeCell ref="B44:C44"/>
    <mergeCell ref="B40:C40"/>
    <mergeCell ref="D43:G43"/>
    <mergeCell ref="B43:C43"/>
    <mergeCell ref="B63:C63"/>
    <mergeCell ref="D35:G35"/>
    <mergeCell ref="D36:G36"/>
    <mergeCell ref="D37:G37"/>
    <mergeCell ref="D38:G38"/>
    <mergeCell ref="D39:G39"/>
    <mergeCell ref="D30:G30"/>
    <mergeCell ref="D31:G31"/>
    <mergeCell ref="D32:G32"/>
    <mergeCell ref="D33:G33"/>
    <mergeCell ref="D34:G34"/>
    <mergeCell ref="D49:G49"/>
    <mergeCell ref="D50:G50"/>
    <mergeCell ref="D51:G51"/>
    <mergeCell ref="D52:G52"/>
    <mergeCell ref="D53:G53"/>
    <mergeCell ref="D40:G40"/>
    <mergeCell ref="D41:G41"/>
    <mergeCell ref="D42:G42"/>
    <mergeCell ref="D44:G44"/>
    <mergeCell ref="D45:G45"/>
    <mergeCell ref="D68:G68"/>
    <mergeCell ref="D59:G59"/>
    <mergeCell ref="D60:G60"/>
    <mergeCell ref="D61:G61"/>
    <mergeCell ref="D62:G62"/>
    <mergeCell ref="D63:G63"/>
    <mergeCell ref="D55:G55"/>
    <mergeCell ref="D56:G56"/>
    <mergeCell ref="D57:G57"/>
    <mergeCell ref="D58:G58"/>
    <mergeCell ref="D54:G54"/>
    <mergeCell ref="D46:G46"/>
    <mergeCell ref="D84:G84"/>
    <mergeCell ref="D85:G85"/>
    <mergeCell ref="D86:G86"/>
    <mergeCell ref="D79:G79"/>
    <mergeCell ref="D80:G80"/>
    <mergeCell ref="D81:G81"/>
    <mergeCell ref="D82:G82"/>
    <mergeCell ref="D83:G83"/>
    <mergeCell ref="D74:G74"/>
    <mergeCell ref="D75:G75"/>
    <mergeCell ref="D76:G76"/>
    <mergeCell ref="D77:G77"/>
    <mergeCell ref="D78:G78"/>
    <mergeCell ref="D69:G69"/>
    <mergeCell ref="D70:G70"/>
    <mergeCell ref="D71:G71"/>
    <mergeCell ref="D72:G72"/>
    <mergeCell ref="D73:G73"/>
    <mergeCell ref="D64:G64"/>
    <mergeCell ref="D65:G65"/>
    <mergeCell ref="D66:G66"/>
    <mergeCell ref="D67:G67"/>
  </mergeCells>
  <phoneticPr fontId="11"/>
  <dataValidations disablePrompts="1" count="1">
    <dataValidation type="list" allowBlank="1" showInputMessage="1" showErrorMessage="1" prompt=" - " sqref="L7" xr:uid="{00000000-0002-0000-0000-000000000000}">
      <formula1>"0.0,0.5,1.0,0.2,0.3"</formula1>
    </dataValidation>
  </dataValidations>
  <pageMargins left="0.7" right="0.7" top="0.75" bottom="0.75" header="0.3" footer="0.3"/>
  <pageSetup paperSize="9" orientation="portrait" r:id="rId1"/>
  <rowBreaks count="1" manualBreakCount="1">
    <brk id="4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CA194-CD78-4872-A150-7FC0A180BBFA}">
  <sheetPr codeName="Sheet6">
    <tabColor rgb="FFFFFF00"/>
  </sheetPr>
  <dimension ref="A1:M999"/>
  <sheetViews>
    <sheetView workbookViewId="0">
      <selection activeCell="B3" sqref="B3:H3"/>
    </sheetView>
  </sheetViews>
  <sheetFormatPr defaultColWidth="12.625" defaultRowHeight="15" customHeight="1"/>
  <cols>
    <col min="1" max="1" width="11.875" style="134" customWidth="1"/>
    <col min="2" max="2" width="32.875" style="132" customWidth="1"/>
    <col min="3" max="3" width="16.375" style="132" customWidth="1"/>
    <col min="4" max="5" width="8.625" style="132" customWidth="1"/>
    <col min="6" max="7" width="18.625" style="132" customWidth="1"/>
    <col min="8" max="8" width="18.125" style="132" customWidth="1"/>
    <col min="9" max="9" width="5.5" style="132" customWidth="1"/>
    <col min="10" max="10" width="14.125" style="132" customWidth="1"/>
    <col min="11" max="11" width="22.125" style="132" customWidth="1"/>
    <col min="12" max="13" width="8" style="132" customWidth="1"/>
    <col min="14" max="28" width="14.375" style="132" customWidth="1"/>
    <col min="29" max="16384" width="12.625" style="132"/>
  </cols>
  <sheetData>
    <row r="1" spans="1:13" ht="37.5" customHeight="1">
      <c r="A1" s="408" t="s">
        <v>99</v>
      </c>
      <c r="B1" s="409"/>
      <c r="C1" s="409"/>
      <c r="D1" s="409"/>
      <c r="E1" s="409"/>
      <c r="F1" s="409"/>
      <c r="G1" s="409"/>
      <c r="H1" s="409"/>
      <c r="I1" s="127"/>
      <c r="J1" s="131"/>
      <c r="K1" s="127"/>
      <c r="L1" s="127"/>
      <c r="M1" s="127"/>
    </row>
    <row r="2" spans="1:13" ht="13.5" customHeight="1">
      <c r="A2" s="126"/>
      <c r="B2" s="127"/>
      <c r="C2" s="127"/>
      <c r="D2" s="127"/>
      <c r="E2" s="126"/>
      <c r="F2" s="126"/>
      <c r="G2" s="127"/>
      <c r="H2" s="127"/>
      <c r="I2" s="127"/>
      <c r="J2" s="127"/>
      <c r="K2" s="127"/>
      <c r="L2" s="127"/>
      <c r="M2" s="127"/>
    </row>
    <row r="3" spans="1:13" ht="37.5" customHeight="1">
      <c r="A3" s="130" t="s">
        <v>0</v>
      </c>
      <c r="B3" s="410"/>
      <c r="C3" s="411"/>
      <c r="D3" s="411"/>
      <c r="E3" s="411"/>
      <c r="F3" s="411"/>
      <c r="G3" s="411"/>
      <c r="H3" s="412"/>
      <c r="I3" s="131"/>
      <c r="J3" s="108" t="s">
        <v>1</v>
      </c>
      <c r="K3" s="107">
        <v>0.42</v>
      </c>
      <c r="L3" s="127"/>
      <c r="M3" s="127"/>
    </row>
    <row r="4" spans="1:13" ht="13.5" customHeight="1">
      <c r="A4" s="126"/>
      <c r="B4" s="126"/>
      <c r="C4" s="126"/>
      <c r="D4" s="126"/>
      <c r="E4" s="126"/>
      <c r="F4" s="126"/>
      <c r="G4" s="126"/>
      <c r="H4" s="126"/>
      <c r="I4" s="133"/>
      <c r="J4" s="127"/>
      <c r="K4" s="127"/>
      <c r="L4" s="127"/>
      <c r="M4" s="127"/>
    </row>
    <row r="5" spans="1:13" ht="21.6" customHeight="1">
      <c r="A5" s="107"/>
      <c r="B5" s="108" t="s">
        <v>2</v>
      </c>
      <c r="C5" s="108" t="s">
        <v>3</v>
      </c>
      <c r="D5" s="108" t="s">
        <v>4</v>
      </c>
      <c r="E5" s="108" t="s">
        <v>5</v>
      </c>
      <c r="F5" s="108" t="s">
        <v>121</v>
      </c>
      <c r="G5" s="108" t="s">
        <v>6</v>
      </c>
      <c r="H5" s="108" t="s">
        <v>98</v>
      </c>
      <c r="I5" s="127"/>
      <c r="J5" s="414" t="s">
        <v>122</v>
      </c>
      <c r="K5" s="414"/>
      <c r="L5" s="127"/>
      <c r="M5" s="127"/>
    </row>
    <row r="6" spans="1:13" ht="21.6" customHeight="1">
      <c r="A6" s="109" t="s">
        <v>8</v>
      </c>
      <c r="B6" s="110"/>
      <c r="C6" s="111"/>
      <c r="D6" s="112"/>
      <c r="E6" s="113"/>
      <c r="F6" s="244">
        <f>C6*D6</f>
        <v>0</v>
      </c>
      <c r="G6" s="245">
        <f>(C6*D6*K3)</f>
        <v>0</v>
      </c>
      <c r="H6" s="245">
        <f t="shared" ref="H6:H15" si="0">(G6/0.7)</f>
        <v>0</v>
      </c>
      <c r="I6" s="127"/>
      <c r="J6" s="407"/>
      <c r="K6" s="407"/>
      <c r="L6" s="127"/>
      <c r="M6" s="127"/>
    </row>
    <row r="7" spans="1:13" ht="21.6" customHeight="1">
      <c r="A7" s="109" t="s">
        <v>11</v>
      </c>
      <c r="B7" s="110"/>
      <c r="C7" s="114"/>
      <c r="D7" s="112"/>
      <c r="E7" s="113"/>
      <c r="F7" s="244">
        <f t="shared" ref="F7:F15" si="1">C7*D7</f>
        <v>0</v>
      </c>
      <c r="G7" s="245">
        <f>(C7*D7*K3)</f>
        <v>0</v>
      </c>
      <c r="H7" s="245">
        <f t="shared" si="0"/>
        <v>0</v>
      </c>
      <c r="I7" s="127"/>
      <c r="J7" s="400"/>
      <c r="K7" s="402">
        <f>(H16)</f>
        <v>0</v>
      </c>
      <c r="L7" s="127"/>
      <c r="M7" s="127"/>
    </row>
    <row r="8" spans="1:13" ht="21.6" customHeight="1">
      <c r="A8" s="109" t="s">
        <v>61</v>
      </c>
      <c r="B8" s="110"/>
      <c r="C8" s="114"/>
      <c r="D8" s="112"/>
      <c r="E8" s="113"/>
      <c r="F8" s="244">
        <f t="shared" si="1"/>
        <v>0</v>
      </c>
      <c r="G8" s="245">
        <f>(C8*D8*K3)</f>
        <v>0</v>
      </c>
      <c r="H8" s="245">
        <f t="shared" si="0"/>
        <v>0</v>
      </c>
      <c r="I8" s="127"/>
      <c r="J8" s="401"/>
      <c r="K8" s="401"/>
      <c r="L8" s="127"/>
      <c r="M8" s="127"/>
    </row>
    <row r="9" spans="1:13" ht="21.6" customHeight="1">
      <c r="A9" s="109" t="s">
        <v>14</v>
      </c>
      <c r="B9" s="115"/>
      <c r="C9" s="114"/>
      <c r="D9" s="112"/>
      <c r="E9" s="113"/>
      <c r="F9" s="244">
        <f t="shared" si="1"/>
        <v>0</v>
      </c>
      <c r="G9" s="245">
        <f>(C9*D9*K3)</f>
        <v>0</v>
      </c>
      <c r="H9" s="245">
        <f t="shared" si="0"/>
        <v>0</v>
      </c>
      <c r="I9" s="127"/>
      <c r="J9" s="403" t="s">
        <v>12</v>
      </c>
      <c r="K9" s="413">
        <v>1</v>
      </c>
      <c r="L9" s="127"/>
      <c r="M9" s="127"/>
    </row>
    <row r="10" spans="1:13" ht="21.6" customHeight="1">
      <c r="A10" s="109" t="s">
        <v>18</v>
      </c>
      <c r="B10" s="110"/>
      <c r="C10" s="114"/>
      <c r="D10" s="112"/>
      <c r="E10" s="113"/>
      <c r="F10" s="244">
        <f t="shared" si="1"/>
        <v>0</v>
      </c>
      <c r="G10" s="245">
        <f>(C10*D10*K3)</f>
        <v>0</v>
      </c>
      <c r="H10" s="245">
        <f t="shared" si="0"/>
        <v>0</v>
      </c>
      <c r="I10" s="127"/>
      <c r="J10" s="401"/>
      <c r="K10" s="401"/>
      <c r="L10" s="127"/>
      <c r="M10" s="127"/>
    </row>
    <row r="11" spans="1:13" ht="21.6" customHeight="1">
      <c r="A11" s="109" t="s">
        <v>20</v>
      </c>
      <c r="B11" s="110"/>
      <c r="C11" s="114"/>
      <c r="D11" s="112"/>
      <c r="E11" s="113"/>
      <c r="F11" s="244">
        <f t="shared" si="1"/>
        <v>0</v>
      </c>
      <c r="G11" s="245">
        <f>(C11*D11*K3)</f>
        <v>0</v>
      </c>
      <c r="H11" s="245">
        <f t="shared" si="0"/>
        <v>0</v>
      </c>
      <c r="I11" s="127"/>
      <c r="J11" s="400" t="s">
        <v>17</v>
      </c>
      <c r="K11" s="402">
        <f>(K7/K9)</f>
        <v>0</v>
      </c>
      <c r="L11" s="127"/>
      <c r="M11" s="127"/>
    </row>
    <row r="12" spans="1:13" ht="21.6" customHeight="1">
      <c r="A12" s="109" t="s">
        <v>21</v>
      </c>
      <c r="B12" s="110"/>
      <c r="C12" s="114"/>
      <c r="D12" s="112"/>
      <c r="E12" s="113"/>
      <c r="F12" s="244">
        <f t="shared" si="1"/>
        <v>0</v>
      </c>
      <c r="G12" s="245">
        <f>(C12*D12*K3)</f>
        <v>0</v>
      </c>
      <c r="H12" s="245">
        <f t="shared" si="0"/>
        <v>0</v>
      </c>
      <c r="I12" s="127"/>
      <c r="J12" s="401"/>
      <c r="K12" s="401"/>
      <c r="L12" s="127"/>
      <c r="M12" s="127"/>
    </row>
    <row r="13" spans="1:13" ht="21.6" customHeight="1">
      <c r="A13" s="109" t="s">
        <v>22</v>
      </c>
      <c r="B13" s="110"/>
      <c r="C13" s="114"/>
      <c r="D13" s="112"/>
      <c r="E13" s="113"/>
      <c r="F13" s="244">
        <f t="shared" si="1"/>
        <v>0</v>
      </c>
      <c r="G13" s="245">
        <f>(C13*D13*K3)</f>
        <v>0</v>
      </c>
      <c r="H13" s="245">
        <f t="shared" si="0"/>
        <v>0</v>
      </c>
      <c r="I13" s="127"/>
      <c r="J13" s="127"/>
      <c r="K13" s="127"/>
      <c r="L13" s="127"/>
      <c r="M13" s="127"/>
    </row>
    <row r="14" spans="1:13" ht="21.6" customHeight="1">
      <c r="A14" s="109" t="s">
        <v>23</v>
      </c>
      <c r="B14" s="110"/>
      <c r="C14" s="114"/>
      <c r="D14" s="112"/>
      <c r="E14" s="113"/>
      <c r="F14" s="244">
        <f t="shared" si="1"/>
        <v>0</v>
      </c>
      <c r="G14" s="245">
        <f>(C14*D14*K3)</f>
        <v>0</v>
      </c>
      <c r="H14" s="245">
        <f t="shared" si="0"/>
        <v>0</v>
      </c>
      <c r="I14" s="127"/>
      <c r="J14" s="237"/>
      <c r="K14" s="237"/>
      <c r="L14" s="127"/>
      <c r="M14" s="127"/>
    </row>
    <row r="15" spans="1:13" ht="21.6" customHeight="1" thickBot="1">
      <c r="A15" s="109" t="s">
        <v>25</v>
      </c>
      <c r="B15" s="110"/>
      <c r="C15" s="114"/>
      <c r="D15" s="112"/>
      <c r="E15" s="116"/>
      <c r="F15" s="248">
        <f t="shared" si="1"/>
        <v>0</v>
      </c>
      <c r="G15" s="246">
        <f>(C15*D15*K3)</f>
        <v>0</v>
      </c>
      <c r="H15" s="246">
        <f t="shared" si="0"/>
        <v>0</v>
      </c>
      <c r="I15" s="127"/>
      <c r="J15" s="237"/>
      <c r="K15" s="237"/>
      <c r="L15" s="127"/>
      <c r="M15" s="127"/>
    </row>
    <row r="16" spans="1:13" ht="21.6" customHeight="1" thickTop="1">
      <c r="A16" s="117"/>
      <c r="B16" s="118"/>
      <c r="C16" s="118"/>
      <c r="D16" s="118"/>
      <c r="E16" s="119" t="s">
        <v>31</v>
      </c>
      <c r="F16" s="247">
        <f>SUM(F6:F15)</f>
        <v>0</v>
      </c>
      <c r="G16" s="247">
        <f t="shared" ref="G16:H16" si="2">SUM(G6:G15)</f>
        <v>0</v>
      </c>
      <c r="H16" s="247">
        <f t="shared" si="2"/>
        <v>0</v>
      </c>
      <c r="I16" s="127"/>
      <c r="J16" s="406" t="s">
        <v>97</v>
      </c>
      <c r="K16" s="406"/>
      <c r="L16" s="127"/>
      <c r="M16" s="127"/>
    </row>
    <row r="17" spans="1:13" ht="21.6" customHeight="1">
      <c r="A17" s="120"/>
      <c r="B17" s="121"/>
      <c r="C17" s="121"/>
      <c r="D17" s="121"/>
      <c r="E17" s="122"/>
      <c r="F17" s="122"/>
      <c r="G17" s="122"/>
      <c r="H17" s="122"/>
      <c r="I17" s="127"/>
      <c r="J17" s="407"/>
      <c r="K17" s="407"/>
      <c r="L17" s="127"/>
      <c r="M17" s="127"/>
    </row>
    <row r="18" spans="1:13" ht="21.6" customHeight="1">
      <c r="A18" s="107"/>
      <c r="B18" s="123" t="s">
        <v>34</v>
      </c>
      <c r="C18" s="108" t="s">
        <v>35</v>
      </c>
      <c r="D18" s="108" t="s">
        <v>4</v>
      </c>
      <c r="E18" s="108" t="s">
        <v>5</v>
      </c>
      <c r="F18" s="108" t="s">
        <v>121</v>
      </c>
      <c r="G18" s="108" t="s">
        <v>36</v>
      </c>
      <c r="H18" s="108" t="s">
        <v>97</v>
      </c>
      <c r="I18" s="127"/>
      <c r="J18" s="400" t="s">
        <v>7</v>
      </c>
      <c r="K18" s="402">
        <f>H23</f>
        <v>0</v>
      </c>
      <c r="L18" s="127"/>
      <c r="M18" s="127"/>
    </row>
    <row r="19" spans="1:13" ht="21.6" customHeight="1">
      <c r="A19" s="109" t="s">
        <v>37</v>
      </c>
      <c r="B19" s="124"/>
      <c r="C19" s="124"/>
      <c r="D19" s="112"/>
      <c r="E19" s="240"/>
      <c r="F19" s="249">
        <f>C19*D19</f>
        <v>0</v>
      </c>
      <c r="G19" s="249">
        <f t="shared" ref="G19:G22" si="3">(C19*D19)</f>
        <v>0</v>
      </c>
      <c r="H19" s="249">
        <f>(G19/0.7)</f>
        <v>0</v>
      </c>
      <c r="I19" s="127"/>
      <c r="J19" s="401"/>
      <c r="K19" s="401"/>
      <c r="L19" s="127"/>
      <c r="M19" s="127"/>
    </row>
    <row r="20" spans="1:13" ht="21.6" customHeight="1">
      <c r="A20" s="109" t="s">
        <v>42</v>
      </c>
      <c r="B20" s="124"/>
      <c r="C20" s="124"/>
      <c r="D20" s="112"/>
      <c r="E20" s="241"/>
      <c r="F20" s="249">
        <f t="shared" ref="F20:F22" si="4">C20*D20</f>
        <v>0</v>
      </c>
      <c r="G20" s="250">
        <f t="shared" si="3"/>
        <v>0</v>
      </c>
      <c r="H20" s="249">
        <f>(G20/0.7)</f>
        <v>0</v>
      </c>
      <c r="I20" s="126"/>
      <c r="J20" s="403" t="s">
        <v>12</v>
      </c>
      <c r="K20" s="404">
        <f>K9</f>
        <v>1</v>
      </c>
      <c r="L20" s="127"/>
      <c r="M20" s="127"/>
    </row>
    <row r="21" spans="1:13" ht="21.6" customHeight="1">
      <c r="A21" s="109" t="s">
        <v>44</v>
      </c>
      <c r="B21" s="124"/>
      <c r="C21" s="124"/>
      <c r="D21" s="125"/>
      <c r="E21" s="242"/>
      <c r="F21" s="249">
        <f t="shared" si="4"/>
        <v>0</v>
      </c>
      <c r="G21" s="249">
        <f t="shared" si="3"/>
        <v>0</v>
      </c>
      <c r="H21" s="249">
        <f>(G21/0.7)</f>
        <v>0</v>
      </c>
      <c r="I21" s="126"/>
      <c r="J21" s="401"/>
      <c r="K21" s="405"/>
      <c r="L21" s="127"/>
      <c r="M21" s="127"/>
    </row>
    <row r="22" spans="1:13" ht="21.6" customHeight="1" thickBot="1">
      <c r="A22" s="109" t="s">
        <v>45</v>
      </c>
      <c r="B22" s="124"/>
      <c r="C22" s="124"/>
      <c r="D22" s="112"/>
      <c r="E22" s="243"/>
      <c r="F22" s="255">
        <f t="shared" si="4"/>
        <v>0</v>
      </c>
      <c r="G22" s="251">
        <f t="shared" si="3"/>
        <v>0</v>
      </c>
      <c r="H22" s="252">
        <f>(G22/0.7)</f>
        <v>0</v>
      </c>
      <c r="I22" s="126"/>
      <c r="J22" s="400" t="s">
        <v>17</v>
      </c>
      <c r="K22" s="402">
        <f>(K18/K20)</f>
        <v>0</v>
      </c>
      <c r="L22" s="127"/>
      <c r="M22" s="127"/>
    </row>
    <row r="23" spans="1:13" ht="20.25" customHeight="1" thickTop="1">
      <c r="A23" s="126"/>
      <c r="B23" s="127"/>
      <c r="C23" s="118"/>
      <c r="D23" s="128"/>
      <c r="E23" s="129" t="s">
        <v>31</v>
      </c>
      <c r="F23" s="253">
        <f>SUM(F19:F22)</f>
        <v>0</v>
      </c>
      <c r="G23" s="253">
        <f t="shared" ref="G23:H23" si="5">SUM(G19:G22)</f>
        <v>0</v>
      </c>
      <c r="H23" s="254">
        <f t="shared" si="5"/>
        <v>0</v>
      </c>
      <c r="I23" s="127"/>
      <c r="J23" s="401"/>
      <c r="K23" s="401"/>
      <c r="L23" s="127"/>
      <c r="M23" s="127"/>
    </row>
    <row r="24" spans="1:13" ht="18" customHeight="1">
      <c r="A24" s="126"/>
      <c r="B24" s="127"/>
      <c r="C24" s="127"/>
      <c r="D24" s="127"/>
      <c r="E24" s="126"/>
      <c r="F24" s="126"/>
      <c r="G24" s="127"/>
      <c r="H24" s="127"/>
      <c r="I24" s="127"/>
      <c r="J24" s="127"/>
      <c r="K24" s="127"/>
      <c r="L24" s="127"/>
      <c r="M24" s="127"/>
    </row>
    <row r="25" spans="1:13" ht="31.15" customHeight="1">
      <c r="A25" s="126"/>
      <c r="B25" s="127"/>
      <c r="C25" s="239"/>
      <c r="D25" s="239"/>
      <c r="E25" s="238"/>
      <c r="F25" s="238"/>
      <c r="G25" s="238"/>
      <c r="H25" s="238"/>
      <c r="I25" s="127"/>
      <c r="J25" s="127"/>
      <c r="K25" s="127"/>
      <c r="L25" s="127"/>
      <c r="M25" s="127"/>
    </row>
    <row r="26" spans="1:13" ht="31.15" customHeight="1">
      <c r="A26" s="126"/>
      <c r="B26" s="127"/>
      <c r="C26" s="239"/>
      <c r="D26" s="239"/>
      <c r="E26" s="238"/>
      <c r="F26" s="238"/>
      <c r="G26" s="238"/>
      <c r="H26" s="238"/>
      <c r="I26" s="127"/>
      <c r="J26" s="127"/>
      <c r="K26" s="127"/>
      <c r="L26" s="127"/>
      <c r="M26" s="127"/>
    </row>
    <row r="27" spans="1:13" ht="15.75" customHeight="1">
      <c r="A27" s="126"/>
      <c r="B27" s="127"/>
      <c r="C27" s="127"/>
      <c r="D27" s="127"/>
      <c r="E27" s="399"/>
      <c r="F27" s="399"/>
      <c r="G27" s="399"/>
      <c r="H27" s="399"/>
      <c r="I27" s="127"/>
      <c r="J27" s="127"/>
      <c r="K27" s="127"/>
      <c r="L27" s="127"/>
      <c r="M27" s="127"/>
    </row>
    <row r="28" spans="1:13" ht="13.5" customHeight="1">
      <c r="A28" s="126"/>
      <c r="B28" s="127"/>
      <c r="C28" s="127"/>
      <c r="D28" s="127"/>
      <c r="E28" s="126"/>
      <c r="F28" s="126"/>
      <c r="G28" s="127"/>
      <c r="H28" s="127"/>
      <c r="I28" s="127"/>
      <c r="J28" s="127"/>
      <c r="K28" s="127"/>
      <c r="L28" s="127"/>
      <c r="M28" s="127"/>
    </row>
    <row r="29" spans="1:13" ht="15.75" customHeight="1">
      <c r="A29" s="126"/>
      <c r="B29" s="127"/>
      <c r="C29" s="127"/>
      <c r="D29" s="127"/>
      <c r="E29" s="126"/>
      <c r="F29" s="126"/>
      <c r="G29" s="127"/>
      <c r="H29" s="127"/>
      <c r="I29" s="127"/>
      <c r="J29" s="127"/>
      <c r="K29" s="127"/>
      <c r="L29" s="127"/>
      <c r="M29" s="127"/>
    </row>
    <row r="30" spans="1:13" ht="13.5" customHeight="1">
      <c r="A30" s="126"/>
      <c r="B30" s="127"/>
      <c r="C30" s="127"/>
      <c r="D30" s="127"/>
      <c r="E30" s="126"/>
      <c r="F30" s="126"/>
      <c r="G30" s="127"/>
      <c r="H30" s="127"/>
      <c r="I30" s="127"/>
      <c r="J30" s="127"/>
      <c r="K30" s="127"/>
      <c r="L30" s="127"/>
      <c r="M30" s="127"/>
    </row>
    <row r="31" spans="1:13" ht="13.5" customHeight="1">
      <c r="A31" s="126"/>
      <c r="B31" s="127"/>
      <c r="C31" s="127"/>
      <c r="D31" s="127"/>
      <c r="E31" s="126"/>
      <c r="F31" s="126"/>
      <c r="G31" s="127"/>
      <c r="H31" s="127"/>
      <c r="I31" s="127"/>
      <c r="J31" s="127"/>
      <c r="K31" s="127"/>
      <c r="L31" s="127"/>
      <c r="M31" s="127"/>
    </row>
    <row r="32" spans="1:13" ht="13.5" customHeight="1">
      <c r="A32" s="126"/>
      <c r="B32" s="127"/>
      <c r="C32" s="127"/>
      <c r="D32" s="127"/>
      <c r="E32" s="126"/>
      <c r="F32" s="126"/>
      <c r="G32" s="127"/>
      <c r="H32" s="127"/>
      <c r="I32" s="127"/>
      <c r="J32" s="127"/>
      <c r="K32" s="127"/>
      <c r="L32" s="127"/>
      <c r="M32" s="127"/>
    </row>
    <row r="33" spans="1:13" ht="13.5" customHeight="1">
      <c r="A33" s="126"/>
      <c r="B33" s="127"/>
      <c r="C33" s="127"/>
      <c r="D33" s="127"/>
      <c r="E33" s="126"/>
      <c r="F33" s="126"/>
      <c r="G33" s="127"/>
      <c r="H33" s="127"/>
      <c r="I33" s="127"/>
      <c r="J33" s="127"/>
      <c r="K33" s="127"/>
      <c r="L33" s="127"/>
      <c r="M33" s="127"/>
    </row>
    <row r="34" spans="1:13" ht="13.5" customHeight="1">
      <c r="A34" s="126"/>
      <c r="B34" s="127"/>
      <c r="C34" s="127"/>
      <c r="D34" s="127"/>
      <c r="E34" s="126"/>
      <c r="F34" s="126"/>
      <c r="G34" s="127"/>
      <c r="H34" s="127"/>
      <c r="I34" s="127"/>
      <c r="J34" s="127"/>
      <c r="K34" s="127"/>
      <c r="L34" s="127"/>
      <c r="M34" s="127"/>
    </row>
    <row r="35" spans="1:13" ht="13.5" customHeight="1">
      <c r="A35" s="126"/>
      <c r="B35" s="127"/>
      <c r="C35" s="127"/>
      <c r="D35" s="127"/>
      <c r="E35" s="126"/>
      <c r="F35" s="126"/>
      <c r="G35" s="127"/>
      <c r="H35" s="127"/>
      <c r="I35" s="127"/>
      <c r="J35" s="127"/>
      <c r="K35" s="127"/>
      <c r="L35" s="127"/>
      <c r="M35" s="127"/>
    </row>
    <row r="36" spans="1:13" ht="13.5" customHeight="1">
      <c r="A36" s="126"/>
      <c r="B36" s="127"/>
      <c r="C36" s="127"/>
      <c r="D36" s="127"/>
      <c r="E36" s="126"/>
      <c r="F36" s="126"/>
      <c r="G36" s="127"/>
      <c r="H36" s="127"/>
      <c r="I36" s="127"/>
      <c r="J36" s="127"/>
      <c r="K36" s="127"/>
      <c r="L36" s="127"/>
      <c r="M36" s="127"/>
    </row>
    <row r="37" spans="1:13" ht="13.5" customHeight="1">
      <c r="A37" s="126"/>
      <c r="B37" s="127"/>
      <c r="C37" s="127"/>
      <c r="D37" s="127"/>
      <c r="E37" s="126"/>
      <c r="F37" s="126"/>
      <c r="G37" s="127"/>
      <c r="H37" s="127"/>
      <c r="I37" s="127"/>
      <c r="J37" s="127"/>
      <c r="K37" s="127"/>
      <c r="L37" s="127"/>
      <c r="M37" s="127"/>
    </row>
    <row r="38" spans="1:13" ht="13.5" customHeight="1">
      <c r="A38" s="126"/>
      <c r="B38" s="127"/>
      <c r="C38" s="127"/>
      <c r="D38" s="127"/>
      <c r="E38" s="126"/>
      <c r="F38" s="126"/>
      <c r="G38" s="127"/>
      <c r="H38" s="127"/>
      <c r="I38" s="127"/>
      <c r="J38" s="127"/>
      <c r="K38" s="127"/>
      <c r="L38" s="127"/>
      <c r="M38" s="127"/>
    </row>
    <row r="39" spans="1:13" ht="13.5" customHeight="1">
      <c r="A39" s="126"/>
      <c r="B39" s="127"/>
      <c r="C39" s="127"/>
      <c r="D39" s="127"/>
      <c r="E39" s="126"/>
      <c r="F39" s="126"/>
      <c r="G39" s="127"/>
      <c r="H39" s="127"/>
      <c r="I39" s="127"/>
      <c r="J39" s="127"/>
      <c r="K39" s="127"/>
      <c r="L39" s="127"/>
      <c r="M39" s="127"/>
    </row>
    <row r="40" spans="1:13" ht="13.5" customHeight="1">
      <c r="A40" s="126"/>
      <c r="B40" s="127"/>
      <c r="C40" s="127"/>
      <c r="D40" s="127"/>
      <c r="E40" s="126"/>
      <c r="F40" s="126"/>
      <c r="G40" s="127"/>
      <c r="H40" s="127"/>
      <c r="I40" s="127"/>
      <c r="J40" s="127"/>
      <c r="K40" s="127"/>
      <c r="L40" s="127"/>
      <c r="M40" s="127"/>
    </row>
    <row r="41" spans="1:13" ht="13.5" customHeight="1">
      <c r="A41" s="126"/>
      <c r="B41" s="127"/>
      <c r="C41" s="127"/>
      <c r="D41" s="127"/>
      <c r="E41" s="126"/>
      <c r="F41" s="126"/>
      <c r="G41" s="127"/>
      <c r="H41" s="127"/>
      <c r="I41" s="127"/>
      <c r="J41" s="127"/>
      <c r="K41" s="127"/>
      <c r="L41" s="127"/>
      <c r="M41" s="127"/>
    </row>
    <row r="42" spans="1:13" ht="13.5" customHeight="1">
      <c r="A42" s="126"/>
      <c r="B42" s="127"/>
      <c r="C42" s="127"/>
      <c r="D42" s="127"/>
      <c r="E42" s="126"/>
      <c r="F42" s="126"/>
      <c r="G42" s="127"/>
      <c r="H42" s="127"/>
      <c r="I42" s="127"/>
      <c r="J42" s="127"/>
      <c r="K42" s="127"/>
      <c r="L42" s="127"/>
      <c r="M42" s="127"/>
    </row>
    <row r="43" spans="1:13" ht="13.5" customHeight="1">
      <c r="A43" s="126"/>
      <c r="B43" s="127"/>
      <c r="C43" s="127"/>
      <c r="D43" s="127"/>
      <c r="E43" s="126"/>
      <c r="F43" s="126"/>
      <c r="G43" s="127"/>
      <c r="H43" s="127"/>
      <c r="I43" s="127"/>
      <c r="J43" s="127"/>
      <c r="K43" s="127"/>
      <c r="L43" s="127"/>
      <c r="M43" s="127"/>
    </row>
    <row r="44" spans="1:13" ht="13.5" customHeight="1">
      <c r="A44" s="126"/>
      <c r="B44" s="127"/>
      <c r="C44" s="127"/>
      <c r="D44" s="127"/>
      <c r="E44" s="126"/>
      <c r="F44" s="126"/>
      <c r="G44" s="127"/>
      <c r="H44" s="127"/>
      <c r="I44" s="127"/>
      <c r="J44" s="127"/>
      <c r="K44" s="127"/>
      <c r="L44" s="127"/>
      <c r="M44" s="127"/>
    </row>
    <row r="45" spans="1:13" ht="13.5" customHeight="1">
      <c r="A45" s="126"/>
      <c r="B45" s="127"/>
      <c r="C45" s="127"/>
      <c r="D45" s="127"/>
      <c r="E45" s="126"/>
      <c r="F45" s="126"/>
      <c r="G45" s="127"/>
      <c r="H45" s="127"/>
      <c r="I45" s="127"/>
      <c r="J45" s="127"/>
      <c r="K45" s="127"/>
      <c r="L45" s="127"/>
      <c r="M45" s="127"/>
    </row>
    <row r="46" spans="1:13" ht="13.5" customHeight="1">
      <c r="A46" s="126"/>
      <c r="B46" s="127"/>
      <c r="C46" s="127"/>
      <c r="D46" s="127"/>
      <c r="E46" s="126"/>
      <c r="F46" s="126"/>
      <c r="G46" s="127"/>
      <c r="H46" s="127"/>
      <c r="I46" s="127"/>
      <c r="J46" s="127"/>
      <c r="K46" s="127"/>
      <c r="L46" s="127"/>
      <c r="M46" s="127"/>
    </row>
    <row r="47" spans="1:13" ht="13.5" customHeight="1">
      <c r="A47" s="126"/>
      <c r="B47" s="127"/>
      <c r="C47" s="127"/>
      <c r="D47" s="127"/>
      <c r="E47" s="126"/>
      <c r="F47" s="126"/>
      <c r="G47" s="127"/>
      <c r="H47" s="127"/>
      <c r="I47" s="127"/>
      <c r="J47" s="127"/>
      <c r="K47" s="127"/>
      <c r="L47" s="127"/>
      <c r="M47" s="127"/>
    </row>
    <row r="48" spans="1:13" ht="13.5" customHeight="1">
      <c r="A48" s="126"/>
      <c r="B48" s="127"/>
      <c r="C48" s="127"/>
      <c r="D48" s="127"/>
      <c r="E48" s="126"/>
      <c r="F48" s="126"/>
      <c r="G48" s="127"/>
      <c r="H48" s="127"/>
      <c r="I48" s="127"/>
      <c r="J48" s="127"/>
      <c r="K48" s="127"/>
      <c r="L48" s="127"/>
      <c r="M48" s="127"/>
    </row>
    <row r="49" spans="1:13" ht="13.5" customHeight="1">
      <c r="A49" s="126"/>
      <c r="B49" s="127"/>
      <c r="C49" s="127"/>
      <c r="D49" s="127"/>
      <c r="E49" s="126"/>
      <c r="F49" s="126"/>
      <c r="G49" s="127"/>
      <c r="H49" s="127"/>
      <c r="I49" s="127"/>
      <c r="J49" s="127"/>
      <c r="K49" s="127"/>
      <c r="L49" s="127"/>
      <c r="M49" s="127"/>
    </row>
    <row r="50" spans="1:13" ht="13.5" customHeight="1">
      <c r="A50" s="126"/>
      <c r="B50" s="127"/>
      <c r="C50" s="127"/>
      <c r="D50" s="127"/>
      <c r="E50" s="126"/>
      <c r="F50" s="126"/>
      <c r="G50" s="127"/>
      <c r="H50" s="127"/>
      <c r="I50" s="127"/>
      <c r="J50" s="127"/>
      <c r="K50" s="127"/>
      <c r="L50" s="127"/>
      <c r="M50" s="127"/>
    </row>
    <row r="51" spans="1:13" ht="13.5" customHeight="1">
      <c r="A51" s="126"/>
      <c r="B51" s="127"/>
      <c r="C51" s="127"/>
      <c r="D51" s="127"/>
      <c r="E51" s="126"/>
      <c r="F51" s="126"/>
      <c r="G51" s="127"/>
      <c r="H51" s="127"/>
      <c r="I51" s="127"/>
      <c r="J51" s="127"/>
      <c r="K51" s="127"/>
      <c r="L51" s="127"/>
      <c r="M51" s="127"/>
    </row>
    <row r="52" spans="1:13" ht="13.5" customHeight="1">
      <c r="A52" s="126"/>
      <c r="B52" s="127"/>
      <c r="C52" s="127"/>
      <c r="D52" s="127"/>
      <c r="E52" s="126"/>
      <c r="F52" s="126"/>
      <c r="G52" s="127"/>
      <c r="H52" s="127"/>
      <c r="I52" s="127"/>
      <c r="J52" s="127"/>
      <c r="K52" s="127"/>
      <c r="L52" s="127"/>
      <c r="M52" s="127"/>
    </row>
    <row r="53" spans="1:13" ht="13.5" customHeight="1">
      <c r="A53" s="126"/>
      <c r="B53" s="127"/>
      <c r="C53" s="127"/>
      <c r="D53" s="127"/>
      <c r="E53" s="126"/>
      <c r="F53" s="126"/>
      <c r="G53" s="127"/>
      <c r="H53" s="127"/>
      <c r="I53" s="127"/>
      <c r="J53" s="127"/>
      <c r="K53" s="127"/>
      <c r="L53" s="127"/>
      <c r="M53" s="127"/>
    </row>
    <row r="54" spans="1:13" ht="13.5" customHeight="1">
      <c r="A54" s="126"/>
      <c r="B54" s="127"/>
      <c r="C54" s="127"/>
      <c r="D54" s="127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1:13" ht="13.5" customHeight="1">
      <c r="A55" s="126"/>
      <c r="B55" s="127"/>
      <c r="C55" s="127"/>
      <c r="D55" s="127"/>
      <c r="E55" s="126"/>
      <c r="F55" s="126"/>
      <c r="G55" s="127"/>
      <c r="H55" s="127"/>
      <c r="I55" s="127"/>
      <c r="J55" s="127"/>
      <c r="K55" s="127"/>
      <c r="L55" s="127"/>
      <c r="M55" s="127"/>
    </row>
    <row r="56" spans="1:13" ht="13.5" customHeight="1">
      <c r="A56" s="126"/>
      <c r="B56" s="127"/>
      <c r="C56" s="127"/>
      <c r="D56" s="127"/>
      <c r="E56" s="126"/>
      <c r="F56" s="126"/>
      <c r="G56" s="127"/>
      <c r="H56" s="127"/>
      <c r="I56" s="127"/>
      <c r="J56" s="127"/>
      <c r="K56" s="127"/>
      <c r="L56" s="127"/>
      <c r="M56" s="127"/>
    </row>
    <row r="57" spans="1:13" ht="13.5" customHeight="1">
      <c r="A57" s="126"/>
      <c r="B57" s="127"/>
      <c r="C57" s="127"/>
      <c r="D57" s="127"/>
      <c r="E57" s="126"/>
      <c r="F57" s="126"/>
      <c r="G57" s="127"/>
      <c r="H57" s="127"/>
      <c r="I57" s="127"/>
      <c r="J57" s="127"/>
      <c r="K57" s="127"/>
      <c r="L57" s="127"/>
      <c r="M57" s="127"/>
    </row>
    <row r="58" spans="1:13" ht="13.5" customHeight="1">
      <c r="A58" s="126"/>
      <c r="B58" s="127"/>
      <c r="C58" s="127"/>
      <c r="D58" s="127"/>
      <c r="E58" s="126"/>
      <c r="F58" s="126"/>
      <c r="G58" s="127"/>
      <c r="H58" s="127"/>
      <c r="I58" s="127"/>
      <c r="J58" s="127"/>
      <c r="K58" s="127"/>
      <c r="L58" s="127"/>
      <c r="M58" s="127"/>
    </row>
    <row r="59" spans="1:13" ht="13.5" customHeight="1">
      <c r="A59" s="126"/>
      <c r="B59" s="127"/>
      <c r="C59" s="127"/>
      <c r="D59" s="127"/>
      <c r="E59" s="126"/>
      <c r="F59" s="126"/>
      <c r="G59" s="127"/>
      <c r="H59" s="127"/>
      <c r="I59" s="127"/>
      <c r="J59" s="127"/>
      <c r="K59" s="127"/>
      <c r="L59" s="127"/>
      <c r="M59" s="127"/>
    </row>
    <row r="60" spans="1:13" ht="13.5" customHeight="1">
      <c r="A60" s="126"/>
      <c r="B60" s="127"/>
      <c r="C60" s="127"/>
      <c r="D60" s="127"/>
      <c r="E60" s="126"/>
      <c r="F60" s="126"/>
      <c r="G60" s="127"/>
      <c r="H60" s="127"/>
      <c r="I60" s="127"/>
      <c r="J60" s="127"/>
      <c r="K60" s="127"/>
      <c r="L60" s="127"/>
      <c r="M60" s="127"/>
    </row>
    <row r="61" spans="1:13" ht="13.5" customHeight="1">
      <c r="A61" s="126"/>
      <c r="B61" s="127"/>
      <c r="C61" s="127"/>
      <c r="D61" s="127"/>
      <c r="E61" s="126"/>
      <c r="F61" s="126"/>
      <c r="G61" s="127"/>
      <c r="H61" s="127"/>
      <c r="I61" s="127"/>
      <c r="J61" s="127"/>
      <c r="K61" s="127"/>
      <c r="L61" s="127"/>
      <c r="M61" s="127"/>
    </row>
    <row r="62" spans="1:13" ht="13.5" customHeight="1">
      <c r="A62" s="126"/>
      <c r="B62" s="127"/>
      <c r="C62" s="127"/>
      <c r="D62" s="127"/>
      <c r="E62" s="126"/>
      <c r="F62" s="126"/>
      <c r="G62" s="127"/>
      <c r="H62" s="127"/>
      <c r="I62" s="127"/>
      <c r="J62" s="127"/>
      <c r="K62" s="127"/>
      <c r="L62" s="127"/>
      <c r="M62" s="127"/>
    </row>
    <row r="63" spans="1:13" ht="13.5" customHeight="1">
      <c r="A63" s="126"/>
      <c r="B63" s="127"/>
      <c r="C63" s="127"/>
      <c r="D63" s="127"/>
      <c r="E63" s="126"/>
      <c r="F63" s="126"/>
      <c r="G63" s="127"/>
      <c r="H63" s="127"/>
      <c r="I63" s="127"/>
      <c r="J63" s="127"/>
      <c r="K63" s="127"/>
      <c r="L63" s="127"/>
      <c r="M63" s="127"/>
    </row>
    <row r="64" spans="1:13" ht="13.5" customHeight="1">
      <c r="A64" s="126"/>
      <c r="B64" s="127"/>
      <c r="C64" s="127"/>
      <c r="D64" s="127"/>
      <c r="E64" s="126"/>
      <c r="F64" s="126"/>
      <c r="G64" s="127"/>
      <c r="H64" s="127"/>
      <c r="I64" s="127"/>
      <c r="J64" s="127"/>
      <c r="K64" s="127"/>
      <c r="L64" s="127"/>
      <c r="M64" s="127"/>
    </row>
    <row r="65" spans="1:13" ht="13.5" customHeight="1">
      <c r="A65" s="126"/>
      <c r="B65" s="127"/>
      <c r="C65" s="127"/>
      <c r="D65" s="127"/>
      <c r="E65" s="126"/>
      <c r="F65" s="126"/>
      <c r="G65" s="127"/>
      <c r="H65" s="127"/>
      <c r="I65" s="127"/>
      <c r="J65" s="127"/>
      <c r="K65" s="127"/>
      <c r="L65" s="127"/>
      <c r="M65" s="127"/>
    </row>
    <row r="66" spans="1:13" ht="13.5" customHeight="1">
      <c r="A66" s="126"/>
      <c r="B66" s="127"/>
      <c r="C66" s="127"/>
      <c r="D66" s="127"/>
      <c r="E66" s="126"/>
      <c r="F66" s="126"/>
      <c r="G66" s="127"/>
      <c r="H66" s="127"/>
      <c r="I66" s="127"/>
      <c r="J66" s="127"/>
      <c r="K66" s="127"/>
      <c r="L66" s="127"/>
      <c r="M66" s="127"/>
    </row>
    <row r="67" spans="1:13" ht="13.5" customHeight="1">
      <c r="A67" s="126"/>
      <c r="B67" s="127"/>
      <c r="C67" s="127"/>
      <c r="D67" s="127"/>
      <c r="E67" s="126"/>
      <c r="F67" s="126"/>
      <c r="G67" s="127"/>
      <c r="H67" s="127"/>
      <c r="I67" s="127"/>
      <c r="J67" s="127"/>
      <c r="K67" s="127"/>
      <c r="L67" s="127"/>
      <c r="M67" s="127"/>
    </row>
    <row r="68" spans="1:13" ht="13.5" customHeight="1">
      <c r="A68" s="126"/>
      <c r="B68" s="127"/>
      <c r="C68" s="127"/>
      <c r="D68" s="127"/>
      <c r="E68" s="126"/>
      <c r="F68" s="126"/>
      <c r="G68" s="127"/>
      <c r="H68" s="127"/>
      <c r="I68" s="127"/>
      <c r="J68" s="127"/>
      <c r="K68" s="127"/>
      <c r="L68" s="127"/>
      <c r="M68" s="127"/>
    </row>
    <row r="69" spans="1:13" ht="13.5" customHeight="1">
      <c r="A69" s="126"/>
      <c r="B69" s="127"/>
      <c r="C69" s="127"/>
      <c r="D69" s="127"/>
      <c r="E69" s="126"/>
      <c r="F69" s="126"/>
      <c r="G69" s="127"/>
      <c r="H69" s="127"/>
      <c r="I69" s="127"/>
      <c r="J69" s="127"/>
      <c r="K69" s="127"/>
      <c r="L69" s="127"/>
      <c r="M69" s="127"/>
    </row>
    <row r="70" spans="1:13" ht="13.5" customHeight="1">
      <c r="A70" s="126"/>
      <c r="B70" s="127"/>
      <c r="C70" s="127"/>
      <c r="D70" s="127"/>
      <c r="E70" s="126"/>
      <c r="F70" s="126"/>
      <c r="G70" s="127"/>
      <c r="H70" s="127"/>
      <c r="I70" s="127"/>
      <c r="J70" s="127"/>
      <c r="K70" s="127"/>
      <c r="L70" s="127"/>
      <c r="M70" s="127"/>
    </row>
    <row r="71" spans="1:13" ht="13.5" customHeight="1">
      <c r="A71" s="126"/>
      <c r="B71" s="127"/>
      <c r="C71" s="127"/>
      <c r="D71" s="127"/>
      <c r="E71" s="126"/>
      <c r="F71" s="126"/>
      <c r="G71" s="127"/>
      <c r="H71" s="127"/>
      <c r="I71" s="127"/>
      <c r="J71" s="127"/>
      <c r="K71" s="127"/>
      <c r="L71" s="127"/>
      <c r="M71" s="127"/>
    </row>
    <row r="72" spans="1:13" ht="13.5" customHeight="1">
      <c r="A72" s="126"/>
      <c r="B72" s="127"/>
      <c r="C72" s="127"/>
      <c r="D72" s="127"/>
      <c r="E72" s="126"/>
      <c r="F72" s="126"/>
      <c r="G72" s="127"/>
      <c r="H72" s="127"/>
      <c r="I72" s="127"/>
      <c r="J72" s="127"/>
      <c r="K72" s="127"/>
      <c r="L72" s="127"/>
      <c r="M72" s="127"/>
    </row>
    <row r="73" spans="1:13" ht="13.5" customHeight="1">
      <c r="A73" s="126"/>
      <c r="B73" s="127"/>
      <c r="C73" s="127"/>
      <c r="D73" s="127"/>
      <c r="E73" s="126"/>
      <c r="F73" s="126"/>
      <c r="G73" s="127"/>
      <c r="H73" s="127"/>
      <c r="I73" s="127"/>
      <c r="J73" s="127"/>
      <c r="K73" s="127"/>
      <c r="L73" s="127"/>
      <c r="M73" s="127"/>
    </row>
    <row r="74" spans="1:13" ht="13.5" customHeight="1">
      <c r="A74" s="126"/>
      <c r="B74" s="127"/>
      <c r="C74" s="127"/>
      <c r="D74" s="127"/>
      <c r="E74" s="126"/>
      <c r="F74" s="126"/>
      <c r="G74" s="127"/>
      <c r="H74" s="127"/>
      <c r="I74" s="127"/>
      <c r="J74" s="127"/>
      <c r="K74" s="127"/>
      <c r="L74" s="127"/>
      <c r="M74" s="127"/>
    </row>
    <row r="75" spans="1:13" ht="13.5" customHeight="1">
      <c r="A75" s="126"/>
      <c r="B75" s="127"/>
      <c r="C75" s="127"/>
      <c r="D75" s="127"/>
      <c r="E75" s="126"/>
      <c r="F75" s="126"/>
      <c r="G75" s="127"/>
      <c r="H75" s="127"/>
      <c r="I75" s="127"/>
      <c r="J75" s="127"/>
      <c r="K75" s="127"/>
      <c r="L75" s="127"/>
      <c r="M75" s="127"/>
    </row>
    <row r="76" spans="1:13" ht="13.5" customHeight="1">
      <c r="A76" s="126"/>
      <c r="B76" s="127"/>
      <c r="C76" s="127"/>
      <c r="D76" s="127"/>
      <c r="E76" s="126"/>
      <c r="F76" s="126"/>
      <c r="G76" s="127"/>
      <c r="H76" s="127"/>
      <c r="I76" s="127"/>
      <c r="J76" s="127"/>
      <c r="K76" s="127"/>
      <c r="L76" s="127"/>
      <c r="M76" s="127"/>
    </row>
    <row r="77" spans="1:13" ht="13.5" customHeight="1">
      <c r="A77" s="126"/>
      <c r="B77" s="127"/>
      <c r="C77" s="127"/>
      <c r="D77" s="127"/>
      <c r="E77" s="126"/>
      <c r="F77" s="126"/>
      <c r="G77" s="127"/>
      <c r="H77" s="127"/>
      <c r="I77" s="127"/>
      <c r="J77" s="127"/>
      <c r="K77" s="127"/>
      <c r="L77" s="127"/>
      <c r="M77" s="127"/>
    </row>
    <row r="78" spans="1:13" ht="13.5" customHeight="1">
      <c r="A78" s="126"/>
      <c r="B78" s="127"/>
      <c r="C78" s="127"/>
      <c r="D78" s="127"/>
      <c r="E78" s="126"/>
      <c r="F78" s="126"/>
      <c r="G78" s="127"/>
      <c r="H78" s="127"/>
      <c r="I78" s="127"/>
      <c r="J78" s="127"/>
      <c r="K78" s="127"/>
      <c r="L78" s="127"/>
      <c r="M78" s="127"/>
    </row>
    <row r="79" spans="1:13" ht="13.5" customHeight="1">
      <c r="A79" s="126"/>
      <c r="B79" s="127"/>
      <c r="C79" s="127"/>
      <c r="D79" s="127"/>
      <c r="E79" s="126"/>
      <c r="F79" s="126"/>
      <c r="G79" s="127"/>
      <c r="H79" s="127"/>
      <c r="I79" s="127"/>
      <c r="J79" s="127"/>
      <c r="K79" s="127"/>
      <c r="L79" s="127"/>
      <c r="M79" s="127"/>
    </row>
    <row r="80" spans="1:13" ht="13.5" customHeight="1">
      <c r="A80" s="126"/>
      <c r="B80" s="127"/>
      <c r="C80" s="127"/>
      <c r="D80" s="127"/>
      <c r="E80" s="126"/>
      <c r="F80" s="126"/>
      <c r="G80" s="127"/>
      <c r="H80" s="127"/>
      <c r="I80" s="127"/>
      <c r="J80" s="127"/>
      <c r="K80" s="127"/>
      <c r="L80" s="127"/>
      <c r="M80" s="127"/>
    </row>
    <row r="81" spans="1:13" ht="13.5" customHeight="1">
      <c r="A81" s="126"/>
      <c r="B81" s="127"/>
      <c r="C81" s="127"/>
      <c r="D81" s="127"/>
      <c r="E81" s="126"/>
      <c r="F81" s="126"/>
      <c r="G81" s="127"/>
      <c r="H81" s="127"/>
      <c r="I81" s="127"/>
      <c r="J81" s="127"/>
      <c r="K81" s="127"/>
      <c r="L81" s="127"/>
      <c r="M81" s="127"/>
    </row>
    <row r="82" spans="1:13" ht="13.5" customHeight="1">
      <c r="A82" s="126"/>
      <c r="B82" s="127"/>
      <c r="C82" s="127"/>
      <c r="D82" s="127"/>
      <c r="E82" s="126"/>
      <c r="F82" s="126"/>
      <c r="G82" s="127"/>
      <c r="H82" s="127"/>
      <c r="I82" s="127"/>
      <c r="J82" s="127"/>
      <c r="K82" s="127"/>
      <c r="L82" s="127"/>
      <c r="M82" s="127"/>
    </row>
    <row r="83" spans="1:13" ht="13.5" customHeight="1">
      <c r="A83" s="126"/>
      <c r="B83" s="127"/>
      <c r="C83" s="127"/>
      <c r="D83" s="127"/>
      <c r="E83" s="126"/>
      <c r="F83" s="126"/>
      <c r="G83" s="127"/>
      <c r="H83" s="127"/>
      <c r="I83" s="127"/>
      <c r="J83" s="127"/>
      <c r="K83" s="127"/>
      <c r="L83" s="127"/>
      <c r="M83" s="127"/>
    </row>
    <row r="84" spans="1:13" ht="13.5" customHeight="1">
      <c r="A84" s="126"/>
      <c r="B84" s="127"/>
      <c r="C84" s="127"/>
      <c r="D84" s="127"/>
      <c r="E84" s="126"/>
      <c r="F84" s="126"/>
      <c r="G84" s="127"/>
      <c r="H84" s="127"/>
      <c r="I84" s="127"/>
      <c r="J84" s="127"/>
      <c r="K84" s="127"/>
      <c r="L84" s="127"/>
      <c r="M84" s="127"/>
    </row>
    <row r="85" spans="1:13" ht="13.5" customHeight="1">
      <c r="A85" s="126"/>
      <c r="B85" s="127"/>
      <c r="C85" s="127"/>
      <c r="D85" s="127"/>
      <c r="E85" s="126"/>
      <c r="F85" s="126"/>
      <c r="G85" s="127"/>
      <c r="H85" s="127"/>
      <c r="I85" s="127"/>
      <c r="J85" s="127"/>
      <c r="K85" s="127"/>
      <c r="L85" s="127"/>
      <c r="M85" s="127"/>
    </row>
    <row r="86" spans="1:13" ht="13.5" customHeight="1">
      <c r="A86" s="126"/>
      <c r="B86" s="127"/>
      <c r="C86" s="127"/>
      <c r="D86" s="127"/>
      <c r="E86" s="126"/>
      <c r="F86" s="126"/>
      <c r="G86" s="127"/>
      <c r="H86" s="127"/>
      <c r="I86" s="127"/>
      <c r="J86" s="127"/>
      <c r="K86" s="127"/>
      <c r="L86" s="127"/>
      <c r="M86" s="127"/>
    </row>
    <row r="87" spans="1:13" ht="13.5" customHeight="1">
      <c r="A87" s="126"/>
      <c r="B87" s="127"/>
      <c r="C87" s="127"/>
      <c r="D87" s="127"/>
      <c r="E87" s="126"/>
      <c r="F87" s="126"/>
      <c r="G87" s="127"/>
      <c r="H87" s="127"/>
      <c r="I87" s="127"/>
      <c r="J87" s="127"/>
      <c r="K87" s="127"/>
      <c r="L87" s="127"/>
      <c r="M87" s="127"/>
    </row>
    <row r="88" spans="1:13" ht="13.5" customHeight="1">
      <c r="A88" s="126"/>
      <c r="B88" s="127"/>
      <c r="C88" s="127"/>
      <c r="D88" s="127"/>
      <c r="E88" s="126"/>
      <c r="F88" s="126"/>
      <c r="G88" s="127"/>
      <c r="H88" s="127"/>
      <c r="I88" s="127"/>
      <c r="J88" s="127"/>
      <c r="K88" s="127"/>
      <c r="L88" s="127"/>
      <c r="M88" s="127"/>
    </row>
    <row r="89" spans="1:13" ht="13.5" customHeight="1">
      <c r="A89" s="126"/>
      <c r="B89" s="127"/>
      <c r="C89" s="127"/>
      <c r="D89" s="127"/>
      <c r="E89" s="126"/>
      <c r="F89" s="126"/>
      <c r="G89" s="127"/>
      <c r="H89" s="127"/>
      <c r="I89" s="127"/>
      <c r="J89" s="127"/>
      <c r="K89" s="127"/>
      <c r="L89" s="127"/>
      <c r="M89" s="127"/>
    </row>
    <row r="90" spans="1:13" ht="13.5" customHeight="1">
      <c r="A90" s="126"/>
      <c r="B90" s="127"/>
      <c r="C90" s="127"/>
      <c r="D90" s="127"/>
      <c r="E90" s="126"/>
      <c r="F90" s="126"/>
      <c r="G90" s="127"/>
      <c r="H90" s="127"/>
      <c r="I90" s="127"/>
      <c r="J90" s="127"/>
      <c r="K90" s="127"/>
      <c r="L90" s="127"/>
      <c r="M90" s="127"/>
    </row>
    <row r="91" spans="1:13" ht="13.5" customHeight="1">
      <c r="A91" s="126"/>
      <c r="B91" s="127"/>
      <c r="C91" s="127"/>
      <c r="D91" s="127"/>
      <c r="E91" s="126"/>
      <c r="F91" s="126"/>
      <c r="G91" s="127"/>
      <c r="H91" s="127"/>
      <c r="I91" s="127"/>
      <c r="J91" s="127"/>
      <c r="K91" s="127"/>
      <c r="L91" s="127"/>
      <c r="M91" s="127"/>
    </row>
    <row r="92" spans="1:13" ht="13.5" customHeight="1">
      <c r="A92" s="126"/>
      <c r="B92" s="127"/>
      <c r="C92" s="127"/>
      <c r="D92" s="127"/>
      <c r="E92" s="126"/>
      <c r="F92" s="126"/>
      <c r="G92" s="127"/>
      <c r="H92" s="127"/>
      <c r="I92" s="127"/>
      <c r="J92" s="127"/>
      <c r="K92" s="127"/>
      <c r="L92" s="127"/>
      <c r="M92" s="127"/>
    </row>
    <row r="93" spans="1:13" ht="13.5" customHeight="1">
      <c r="A93" s="126"/>
      <c r="B93" s="127"/>
      <c r="C93" s="127"/>
      <c r="D93" s="127"/>
      <c r="E93" s="126"/>
      <c r="F93" s="126"/>
      <c r="G93" s="127"/>
      <c r="H93" s="127"/>
      <c r="I93" s="127"/>
      <c r="J93" s="127"/>
      <c r="K93" s="127"/>
      <c r="L93" s="127"/>
      <c r="M93" s="127"/>
    </row>
    <row r="94" spans="1:13" ht="13.5" customHeight="1">
      <c r="A94" s="126"/>
      <c r="B94" s="127"/>
      <c r="C94" s="127"/>
      <c r="D94" s="127"/>
      <c r="E94" s="126"/>
      <c r="F94" s="126"/>
      <c r="G94" s="127"/>
      <c r="H94" s="127"/>
      <c r="I94" s="127"/>
      <c r="J94" s="127"/>
      <c r="K94" s="127"/>
      <c r="L94" s="127"/>
      <c r="M94" s="127"/>
    </row>
    <row r="95" spans="1:13" ht="13.5" customHeight="1">
      <c r="A95" s="126"/>
      <c r="B95" s="127"/>
      <c r="C95" s="127"/>
      <c r="D95" s="127"/>
      <c r="E95" s="126"/>
      <c r="F95" s="126"/>
      <c r="G95" s="127"/>
      <c r="H95" s="127"/>
      <c r="I95" s="127"/>
      <c r="J95" s="127"/>
      <c r="K95" s="127"/>
      <c r="L95" s="127"/>
      <c r="M95" s="127"/>
    </row>
    <row r="96" spans="1:13" ht="13.5" customHeight="1">
      <c r="A96" s="126"/>
      <c r="B96" s="127"/>
      <c r="C96" s="127"/>
      <c r="D96" s="127"/>
      <c r="E96" s="126"/>
      <c r="F96" s="126"/>
      <c r="G96" s="127"/>
      <c r="H96" s="127"/>
      <c r="I96" s="127"/>
      <c r="J96" s="127"/>
      <c r="K96" s="127"/>
      <c r="L96" s="127"/>
      <c r="M96" s="127"/>
    </row>
    <row r="97" spans="1:13" ht="13.5" customHeight="1">
      <c r="A97" s="126"/>
      <c r="B97" s="127"/>
      <c r="C97" s="127"/>
      <c r="D97" s="127"/>
      <c r="E97" s="126"/>
      <c r="F97" s="126"/>
      <c r="G97" s="127"/>
      <c r="H97" s="127"/>
      <c r="I97" s="127"/>
      <c r="J97" s="127"/>
      <c r="K97" s="127"/>
      <c r="L97" s="127"/>
      <c r="M97" s="127"/>
    </row>
    <row r="98" spans="1:13" ht="13.5" customHeight="1">
      <c r="A98" s="126"/>
      <c r="B98" s="127"/>
      <c r="C98" s="127"/>
      <c r="D98" s="127"/>
      <c r="E98" s="126"/>
      <c r="F98" s="126"/>
      <c r="G98" s="127"/>
      <c r="H98" s="127"/>
      <c r="I98" s="127"/>
      <c r="J98" s="127"/>
      <c r="K98" s="127"/>
      <c r="L98" s="127"/>
      <c r="M98" s="127"/>
    </row>
    <row r="99" spans="1:13" ht="13.5" customHeight="1">
      <c r="A99" s="126"/>
      <c r="B99" s="127"/>
      <c r="C99" s="127"/>
      <c r="D99" s="127"/>
      <c r="E99" s="126"/>
      <c r="F99" s="126"/>
      <c r="G99" s="127"/>
      <c r="H99" s="127"/>
      <c r="I99" s="127"/>
      <c r="J99" s="127"/>
      <c r="K99" s="127"/>
      <c r="L99" s="127"/>
      <c r="M99" s="127"/>
    </row>
    <row r="100" spans="1:13" ht="15.75" customHeight="1">
      <c r="E100" s="135"/>
      <c r="F100" s="135"/>
    </row>
    <row r="101" spans="1:13" ht="15.75" customHeight="1">
      <c r="E101" s="135"/>
      <c r="F101" s="135"/>
    </row>
    <row r="102" spans="1:13" ht="15.75" customHeight="1">
      <c r="E102" s="135"/>
      <c r="F102" s="135"/>
    </row>
    <row r="103" spans="1:13" ht="15.75" customHeight="1">
      <c r="E103" s="135"/>
      <c r="F103" s="135"/>
    </row>
    <row r="104" spans="1:13" ht="15.75" customHeight="1">
      <c r="E104" s="135"/>
      <c r="F104" s="135"/>
    </row>
    <row r="105" spans="1:13" ht="15.75" customHeight="1">
      <c r="E105" s="135"/>
      <c r="F105" s="135"/>
    </row>
    <row r="106" spans="1:13" ht="15.75" customHeight="1">
      <c r="E106" s="135"/>
      <c r="F106" s="135"/>
    </row>
    <row r="107" spans="1:13" ht="15.75" customHeight="1">
      <c r="E107" s="135"/>
      <c r="F107" s="135"/>
    </row>
    <row r="108" spans="1:13" ht="15.75" customHeight="1">
      <c r="E108" s="135"/>
      <c r="F108" s="135"/>
    </row>
    <row r="109" spans="1:13" ht="15.75" customHeight="1">
      <c r="E109" s="135"/>
      <c r="F109" s="135"/>
    </row>
    <row r="110" spans="1:13" ht="15.75" customHeight="1">
      <c r="E110" s="135"/>
      <c r="F110" s="135"/>
    </row>
    <row r="111" spans="1:13" ht="15.75" customHeight="1">
      <c r="E111" s="135"/>
      <c r="F111" s="135"/>
    </row>
    <row r="112" spans="1:13" ht="15.75" customHeight="1">
      <c r="E112" s="135"/>
      <c r="F112" s="135"/>
    </row>
    <row r="113" spans="5:6" ht="15.75" customHeight="1">
      <c r="E113" s="135"/>
      <c r="F113" s="135"/>
    </row>
    <row r="114" spans="5:6" ht="15.75" customHeight="1">
      <c r="E114" s="135"/>
      <c r="F114" s="135"/>
    </row>
    <row r="115" spans="5:6" ht="15.75" customHeight="1">
      <c r="E115" s="135"/>
      <c r="F115" s="135"/>
    </row>
    <row r="116" spans="5:6" ht="15.75" customHeight="1">
      <c r="E116" s="135"/>
      <c r="F116" s="135"/>
    </row>
    <row r="117" spans="5:6" ht="15.75" customHeight="1">
      <c r="E117" s="135"/>
      <c r="F117" s="135"/>
    </row>
    <row r="118" spans="5:6" ht="15.75" customHeight="1">
      <c r="E118" s="135"/>
      <c r="F118" s="135"/>
    </row>
    <row r="119" spans="5:6" ht="15.75" customHeight="1">
      <c r="E119" s="135"/>
      <c r="F119" s="135"/>
    </row>
    <row r="120" spans="5:6" ht="15.75" customHeight="1">
      <c r="E120" s="135"/>
      <c r="F120" s="135"/>
    </row>
    <row r="121" spans="5:6" ht="15.75" customHeight="1">
      <c r="E121" s="135"/>
      <c r="F121" s="135"/>
    </row>
    <row r="122" spans="5:6" ht="15.75" customHeight="1">
      <c r="E122" s="135"/>
      <c r="F122" s="135"/>
    </row>
    <row r="123" spans="5:6" ht="15.75" customHeight="1">
      <c r="E123" s="135"/>
      <c r="F123" s="135"/>
    </row>
    <row r="124" spans="5:6" ht="15.75" customHeight="1">
      <c r="E124" s="135"/>
      <c r="F124" s="135"/>
    </row>
    <row r="125" spans="5:6" ht="15.75" customHeight="1">
      <c r="E125" s="135"/>
      <c r="F125" s="135"/>
    </row>
    <row r="126" spans="5:6" ht="15.75" customHeight="1">
      <c r="E126" s="135"/>
      <c r="F126" s="135"/>
    </row>
    <row r="127" spans="5:6" ht="15.75" customHeight="1">
      <c r="E127" s="135"/>
      <c r="F127" s="135"/>
    </row>
    <row r="128" spans="5:6" ht="15.75" customHeight="1">
      <c r="E128" s="135"/>
      <c r="F128" s="135"/>
    </row>
    <row r="129" spans="5:6" ht="15.75" customHeight="1">
      <c r="E129" s="135"/>
      <c r="F129" s="135"/>
    </row>
    <row r="130" spans="5:6" ht="15.75" customHeight="1">
      <c r="E130" s="135"/>
      <c r="F130" s="135"/>
    </row>
    <row r="131" spans="5:6" ht="15.75" customHeight="1">
      <c r="E131" s="135"/>
      <c r="F131" s="135"/>
    </row>
    <row r="132" spans="5:6" ht="15.75" customHeight="1">
      <c r="E132" s="135"/>
      <c r="F132" s="135"/>
    </row>
    <row r="133" spans="5:6" ht="15.75" customHeight="1">
      <c r="E133" s="135"/>
      <c r="F133" s="135"/>
    </row>
    <row r="134" spans="5:6" ht="15.75" customHeight="1">
      <c r="E134" s="135"/>
      <c r="F134" s="135"/>
    </row>
    <row r="135" spans="5:6" ht="15.75" customHeight="1">
      <c r="E135" s="135"/>
      <c r="F135" s="135"/>
    </row>
    <row r="136" spans="5:6" ht="15.75" customHeight="1">
      <c r="E136" s="135"/>
      <c r="F136" s="135"/>
    </row>
    <row r="137" spans="5:6" ht="15.75" customHeight="1">
      <c r="E137" s="135"/>
      <c r="F137" s="135"/>
    </row>
    <row r="138" spans="5:6" ht="15.75" customHeight="1">
      <c r="E138" s="135"/>
      <c r="F138" s="135"/>
    </row>
    <row r="139" spans="5:6" ht="15.75" customHeight="1">
      <c r="E139" s="135"/>
      <c r="F139" s="135"/>
    </row>
    <row r="140" spans="5:6" ht="15.75" customHeight="1">
      <c r="E140" s="135"/>
      <c r="F140" s="135"/>
    </row>
    <row r="141" spans="5:6" ht="15.75" customHeight="1">
      <c r="E141" s="135"/>
      <c r="F141" s="135"/>
    </row>
    <row r="142" spans="5:6" ht="15.75" customHeight="1">
      <c r="E142" s="135"/>
      <c r="F142" s="135"/>
    </row>
    <row r="143" spans="5:6" ht="15.75" customHeight="1">
      <c r="E143" s="135"/>
      <c r="F143" s="135"/>
    </row>
    <row r="144" spans="5:6" ht="15.75" customHeight="1">
      <c r="E144" s="135"/>
      <c r="F144" s="135"/>
    </row>
    <row r="145" spans="5:6" ht="15.75" customHeight="1">
      <c r="E145" s="135"/>
      <c r="F145" s="135"/>
    </row>
    <row r="146" spans="5:6" ht="15.75" customHeight="1">
      <c r="E146" s="135"/>
      <c r="F146" s="135"/>
    </row>
    <row r="147" spans="5:6" ht="15.75" customHeight="1">
      <c r="E147" s="135"/>
      <c r="F147" s="135"/>
    </row>
    <row r="148" spans="5:6" ht="15.75" customHeight="1">
      <c r="E148" s="135"/>
      <c r="F148" s="135"/>
    </row>
    <row r="149" spans="5:6" ht="15.75" customHeight="1">
      <c r="E149" s="135"/>
      <c r="F149" s="135"/>
    </row>
    <row r="150" spans="5:6" ht="15.75" customHeight="1">
      <c r="E150" s="135"/>
      <c r="F150" s="135"/>
    </row>
    <row r="151" spans="5:6" ht="15.75" customHeight="1">
      <c r="E151" s="135"/>
      <c r="F151" s="135"/>
    </row>
    <row r="152" spans="5:6" ht="15.75" customHeight="1">
      <c r="E152" s="135"/>
      <c r="F152" s="135"/>
    </row>
    <row r="153" spans="5:6" ht="15.75" customHeight="1">
      <c r="E153" s="135"/>
      <c r="F153" s="135"/>
    </row>
    <row r="154" spans="5:6" ht="15.75" customHeight="1">
      <c r="E154" s="135"/>
      <c r="F154" s="135"/>
    </row>
    <row r="155" spans="5:6" ht="15.75" customHeight="1">
      <c r="E155" s="135"/>
      <c r="F155" s="135"/>
    </row>
    <row r="156" spans="5:6" ht="15.75" customHeight="1">
      <c r="E156" s="135"/>
      <c r="F156" s="135"/>
    </row>
    <row r="157" spans="5:6" ht="15.75" customHeight="1">
      <c r="E157" s="135"/>
      <c r="F157" s="135"/>
    </row>
    <row r="158" spans="5:6" ht="15.75" customHeight="1">
      <c r="E158" s="135"/>
      <c r="F158" s="135"/>
    </row>
    <row r="159" spans="5:6" ht="15.75" customHeight="1">
      <c r="E159" s="135"/>
      <c r="F159" s="135"/>
    </row>
    <row r="160" spans="5:6" ht="15.75" customHeight="1">
      <c r="E160" s="135"/>
      <c r="F160" s="135"/>
    </row>
    <row r="161" spans="5:6" ht="15.75" customHeight="1">
      <c r="E161" s="135"/>
      <c r="F161" s="135"/>
    </row>
    <row r="162" spans="5:6" ht="15.75" customHeight="1">
      <c r="E162" s="135"/>
      <c r="F162" s="135"/>
    </row>
    <row r="163" spans="5:6" ht="15.75" customHeight="1">
      <c r="E163" s="135"/>
      <c r="F163" s="135"/>
    </row>
    <row r="164" spans="5:6" ht="15.75" customHeight="1">
      <c r="E164" s="135"/>
      <c r="F164" s="135"/>
    </row>
    <row r="165" spans="5:6" ht="15.75" customHeight="1">
      <c r="E165" s="135"/>
      <c r="F165" s="135"/>
    </row>
    <row r="166" spans="5:6" ht="15.75" customHeight="1">
      <c r="E166" s="135"/>
      <c r="F166" s="135"/>
    </row>
    <row r="167" spans="5:6" ht="15.75" customHeight="1">
      <c r="E167" s="135"/>
      <c r="F167" s="135"/>
    </row>
    <row r="168" spans="5:6" ht="15.75" customHeight="1">
      <c r="E168" s="135"/>
      <c r="F168" s="135"/>
    </row>
    <row r="169" spans="5:6" ht="15.75" customHeight="1">
      <c r="E169" s="135"/>
      <c r="F169" s="135"/>
    </row>
    <row r="170" spans="5:6" ht="15.75" customHeight="1">
      <c r="E170" s="135"/>
      <c r="F170" s="135"/>
    </row>
    <row r="171" spans="5:6" ht="15.75" customHeight="1">
      <c r="E171" s="135"/>
      <c r="F171" s="135"/>
    </row>
    <row r="172" spans="5:6" ht="15.75" customHeight="1">
      <c r="E172" s="135"/>
      <c r="F172" s="135"/>
    </row>
    <row r="173" spans="5:6" ht="15.75" customHeight="1">
      <c r="E173" s="135"/>
      <c r="F173" s="135"/>
    </row>
    <row r="174" spans="5:6" ht="15.75" customHeight="1">
      <c r="E174" s="135"/>
      <c r="F174" s="135"/>
    </row>
    <row r="175" spans="5:6" ht="15.75" customHeight="1">
      <c r="E175" s="135"/>
      <c r="F175" s="135"/>
    </row>
    <row r="176" spans="5:6" ht="15.75" customHeight="1">
      <c r="E176" s="135"/>
      <c r="F176" s="135"/>
    </row>
    <row r="177" spans="5:6" ht="15.75" customHeight="1">
      <c r="E177" s="135"/>
      <c r="F177" s="135"/>
    </row>
    <row r="178" spans="5:6" ht="15.75" customHeight="1">
      <c r="E178" s="135"/>
      <c r="F178" s="135"/>
    </row>
    <row r="179" spans="5:6" ht="15.75" customHeight="1">
      <c r="E179" s="135"/>
      <c r="F179" s="135"/>
    </row>
    <row r="180" spans="5:6" ht="15.75" customHeight="1">
      <c r="E180" s="135"/>
      <c r="F180" s="135"/>
    </row>
    <row r="181" spans="5:6" ht="15.75" customHeight="1">
      <c r="E181" s="135"/>
      <c r="F181" s="135"/>
    </row>
    <row r="182" spans="5:6" ht="15.75" customHeight="1">
      <c r="E182" s="135"/>
      <c r="F182" s="135"/>
    </row>
    <row r="183" spans="5:6" ht="15.75" customHeight="1">
      <c r="E183" s="135"/>
      <c r="F183" s="135"/>
    </row>
    <row r="184" spans="5:6" ht="15.75" customHeight="1">
      <c r="E184" s="135"/>
      <c r="F184" s="135"/>
    </row>
    <row r="185" spans="5:6" ht="15.75" customHeight="1">
      <c r="E185" s="135"/>
      <c r="F185" s="135"/>
    </row>
    <row r="186" spans="5:6" ht="15.75" customHeight="1">
      <c r="E186" s="135"/>
      <c r="F186" s="135"/>
    </row>
    <row r="187" spans="5:6" ht="15.75" customHeight="1">
      <c r="E187" s="135"/>
      <c r="F187" s="135"/>
    </row>
    <row r="188" spans="5:6" ht="15.75" customHeight="1">
      <c r="E188" s="135"/>
      <c r="F188" s="135"/>
    </row>
    <row r="189" spans="5:6" ht="15.75" customHeight="1">
      <c r="E189" s="135"/>
      <c r="F189" s="135"/>
    </row>
    <row r="190" spans="5:6" ht="15.75" customHeight="1">
      <c r="E190" s="135"/>
      <c r="F190" s="135"/>
    </row>
    <row r="191" spans="5:6" ht="15.75" customHeight="1">
      <c r="E191" s="135"/>
      <c r="F191" s="135"/>
    </row>
    <row r="192" spans="5:6" ht="15.75" customHeight="1">
      <c r="E192" s="135"/>
      <c r="F192" s="135"/>
    </row>
    <row r="193" spans="5:6" ht="15.75" customHeight="1">
      <c r="E193" s="135"/>
      <c r="F193" s="135"/>
    </row>
    <row r="194" spans="5:6" ht="15.75" customHeight="1">
      <c r="E194" s="135"/>
      <c r="F194" s="135"/>
    </row>
    <row r="195" spans="5:6" ht="15.75" customHeight="1">
      <c r="E195" s="135"/>
      <c r="F195" s="135"/>
    </row>
    <row r="196" spans="5:6" ht="15.75" customHeight="1">
      <c r="E196" s="135"/>
      <c r="F196" s="135"/>
    </row>
    <row r="197" spans="5:6" ht="15.75" customHeight="1">
      <c r="E197" s="135"/>
      <c r="F197" s="135"/>
    </row>
    <row r="198" spans="5:6" ht="15.75" customHeight="1">
      <c r="E198" s="135"/>
      <c r="F198" s="135"/>
    </row>
    <row r="199" spans="5:6" ht="15.75" customHeight="1">
      <c r="E199" s="135"/>
      <c r="F199" s="135"/>
    </row>
    <row r="200" spans="5:6" ht="15.75" customHeight="1">
      <c r="E200" s="135"/>
      <c r="F200" s="135"/>
    </row>
    <row r="201" spans="5:6" ht="15.75" customHeight="1">
      <c r="E201" s="135"/>
      <c r="F201" s="135"/>
    </row>
    <row r="202" spans="5:6" ht="15.75" customHeight="1">
      <c r="E202" s="135"/>
      <c r="F202" s="135"/>
    </row>
    <row r="203" spans="5:6" ht="15.75" customHeight="1">
      <c r="E203" s="135"/>
      <c r="F203" s="135"/>
    </row>
    <row r="204" spans="5:6" ht="15.75" customHeight="1">
      <c r="E204" s="135"/>
      <c r="F204" s="135"/>
    </row>
    <row r="205" spans="5:6" ht="15.75" customHeight="1">
      <c r="E205" s="135"/>
      <c r="F205" s="135"/>
    </row>
    <row r="206" spans="5:6" ht="15.75" customHeight="1">
      <c r="E206" s="135"/>
      <c r="F206" s="135"/>
    </row>
    <row r="207" spans="5:6" ht="15.75" customHeight="1">
      <c r="E207" s="135"/>
      <c r="F207" s="135"/>
    </row>
    <row r="208" spans="5:6" ht="15.75" customHeight="1">
      <c r="E208" s="135"/>
      <c r="F208" s="135"/>
    </row>
    <row r="209" spans="5:6" ht="15.75" customHeight="1">
      <c r="E209" s="135"/>
      <c r="F209" s="135"/>
    </row>
    <row r="210" spans="5:6" ht="15.75" customHeight="1">
      <c r="E210" s="135"/>
      <c r="F210" s="135"/>
    </row>
    <row r="211" spans="5:6" ht="15.75" customHeight="1">
      <c r="E211" s="135"/>
      <c r="F211" s="135"/>
    </row>
    <row r="212" spans="5:6" ht="15.75" customHeight="1">
      <c r="E212" s="135"/>
      <c r="F212" s="135"/>
    </row>
    <row r="213" spans="5:6" ht="15.75" customHeight="1">
      <c r="E213" s="135"/>
      <c r="F213" s="135"/>
    </row>
    <row r="214" spans="5:6" ht="15.75" customHeight="1">
      <c r="E214" s="135"/>
      <c r="F214" s="135"/>
    </row>
    <row r="215" spans="5:6" ht="15.75" customHeight="1">
      <c r="E215" s="135"/>
      <c r="F215" s="135"/>
    </row>
    <row r="216" spans="5:6" ht="15.75" customHeight="1">
      <c r="E216" s="135"/>
      <c r="F216" s="135"/>
    </row>
    <row r="217" spans="5:6" ht="15.75" customHeight="1">
      <c r="E217" s="135"/>
      <c r="F217" s="135"/>
    </row>
    <row r="218" spans="5:6" ht="15.75" customHeight="1">
      <c r="E218" s="135"/>
      <c r="F218" s="135"/>
    </row>
    <row r="219" spans="5:6" ht="15.75" customHeight="1">
      <c r="E219" s="135"/>
      <c r="F219" s="135"/>
    </row>
    <row r="220" spans="5:6" ht="15.75" customHeight="1">
      <c r="E220" s="135"/>
      <c r="F220" s="135"/>
    </row>
    <row r="221" spans="5:6" ht="15.75" customHeight="1">
      <c r="E221" s="135"/>
      <c r="F221" s="135"/>
    </row>
    <row r="222" spans="5:6" ht="15.75" customHeight="1">
      <c r="E222" s="135"/>
      <c r="F222" s="135"/>
    </row>
    <row r="223" spans="5:6" ht="15.75" customHeight="1">
      <c r="E223" s="135"/>
      <c r="F223" s="135"/>
    </row>
    <row r="224" spans="5:6" ht="15.75" customHeight="1">
      <c r="E224" s="135"/>
      <c r="F224" s="135"/>
    </row>
    <row r="225" spans="5:6" ht="15.75" customHeight="1">
      <c r="E225" s="135"/>
      <c r="F225" s="135"/>
    </row>
    <row r="226" spans="5:6" ht="15.75" customHeight="1">
      <c r="E226" s="135"/>
      <c r="F226" s="135"/>
    </row>
    <row r="227" spans="5:6" ht="15.75" customHeight="1">
      <c r="E227" s="135"/>
      <c r="F227" s="135"/>
    </row>
    <row r="228" spans="5:6" ht="15.75" customHeight="1">
      <c r="E228" s="135"/>
      <c r="F228" s="135"/>
    </row>
    <row r="229" spans="5:6" ht="15.75" customHeight="1">
      <c r="E229" s="135"/>
      <c r="F229" s="135"/>
    </row>
    <row r="230" spans="5:6" ht="15.75" customHeight="1">
      <c r="E230" s="135"/>
      <c r="F230" s="135"/>
    </row>
    <row r="231" spans="5:6" ht="15.75" customHeight="1">
      <c r="E231" s="135"/>
      <c r="F231" s="135"/>
    </row>
    <row r="232" spans="5:6" ht="15.75" customHeight="1">
      <c r="E232" s="135"/>
      <c r="F232" s="135"/>
    </row>
    <row r="233" spans="5:6" ht="15.75" customHeight="1">
      <c r="E233" s="135"/>
      <c r="F233" s="135"/>
    </row>
    <row r="234" spans="5:6" ht="15.75" customHeight="1">
      <c r="E234" s="135"/>
      <c r="F234" s="135"/>
    </row>
    <row r="235" spans="5:6" ht="15.75" customHeight="1">
      <c r="E235" s="135"/>
      <c r="F235" s="135"/>
    </row>
    <row r="236" spans="5:6" ht="15.75" customHeight="1">
      <c r="E236" s="135"/>
      <c r="F236" s="135"/>
    </row>
    <row r="237" spans="5:6" ht="15.75" customHeight="1">
      <c r="E237" s="135"/>
      <c r="F237" s="135"/>
    </row>
    <row r="238" spans="5:6" ht="15.75" customHeight="1">
      <c r="E238" s="135"/>
      <c r="F238" s="135"/>
    </row>
    <row r="239" spans="5:6" ht="15.75" customHeight="1">
      <c r="E239" s="135"/>
      <c r="F239" s="135"/>
    </row>
    <row r="240" spans="5:6" ht="15.75" customHeight="1">
      <c r="E240" s="135"/>
      <c r="F240" s="135"/>
    </row>
    <row r="241" spans="5:6" ht="15.75" customHeight="1">
      <c r="E241" s="135"/>
      <c r="F241" s="135"/>
    </row>
    <row r="242" spans="5:6" ht="15.75" customHeight="1">
      <c r="E242" s="135"/>
      <c r="F242" s="135"/>
    </row>
    <row r="243" spans="5:6" ht="15.75" customHeight="1">
      <c r="E243" s="135"/>
      <c r="F243" s="135"/>
    </row>
    <row r="244" spans="5:6" ht="15.75" customHeight="1">
      <c r="E244" s="135"/>
      <c r="F244" s="135"/>
    </row>
    <row r="245" spans="5:6" ht="15.75" customHeight="1">
      <c r="E245" s="135"/>
      <c r="F245" s="135"/>
    </row>
    <row r="246" spans="5:6" ht="15.75" customHeight="1">
      <c r="E246" s="135"/>
      <c r="F246" s="135"/>
    </row>
    <row r="247" spans="5:6" ht="15.75" customHeight="1">
      <c r="E247" s="135"/>
      <c r="F247" s="135"/>
    </row>
    <row r="248" spans="5:6" ht="15.75" customHeight="1">
      <c r="E248" s="135"/>
      <c r="F248" s="135"/>
    </row>
    <row r="249" spans="5:6" ht="15.75" customHeight="1">
      <c r="E249" s="135"/>
      <c r="F249" s="135"/>
    </row>
    <row r="250" spans="5:6" ht="15.75" customHeight="1">
      <c r="E250" s="135"/>
      <c r="F250" s="135"/>
    </row>
    <row r="251" spans="5:6" ht="15.75" customHeight="1">
      <c r="E251" s="135"/>
      <c r="F251" s="135"/>
    </row>
    <row r="252" spans="5:6" ht="15.75" customHeight="1">
      <c r="E252" s="135"/>
      <c r="F252" s="135"/>
    </row>
    <row r="253" spans="5:6" ht="15.75" customHeight="1">
      <c r="E253" s="135"/>
      <c r="F253" s="135"/>
    </row>
    <row r="254" spans="5:6" ht="15.75" customHeight="1">
      <c r="E254" s="135"/>
      <c r="F254" s="135"/>
    </row>
    <row r="255" spans="5:6" ht="15.75" customHeight="1">
      <c r="E255" s="135"/>
      <c r="F255" s="135"/>
    </row>
    <row r="256" spans="5:6" ht="15.75" customHeight="1">
      <c r="E256" s="135"/>
      <c r="F256" s="135"/>
    </row>
    <row r="257" spans="5:6" ht="15.75" customHeight="1">
      <c r="E257" s="135"/>
      <c r="F257" s="135"/>
    </row>
    <row r="258" spans="5:6" ht="15.75" customHeight="1">
      <c r="E258" s="135"/>
      <c r="F258" s="135"/>
    </row>
    <row r="259" spans="5:6" ht="15.75" customHeight="1">
      <c r="E259" s="135"/>
      <c r="F259" s="135"/>
    </row>
    <row r="260" spans="5:6" ht="15.75" customHeight="1">
      <c r="E260" s="135"/>
      <c r="F260" s="135"/>
    </row>
    <row r="261" spans="5:6" ht="15.75" customHeight="1">
      <c r="E261" s="135"/>
      <c r="F261" s="135"/>
    </row>
    <row r="262" spans="5:6" ht="15.75" customHeight="1">
      <c r="E262" s="135"/>
      <c r="F262" s="135"/>
    </row>
    <row r="263" spans="5:6" ht="15.75" customHeight="1">
      <c r="E263" s="135"/>
      <c r="F263" s="135"/>
    </row>
    <row r="264" spans="5:6" ht="15.75" customHeight="1">
      <c r="E264" s="135"/>
      <c r="F264" s="135"/>
    </row>
    <row r="265" spans="5:6" ht="15.75" customHeight="1">
      <c r="E265" s="135"/>
      <c r="F265" s="135"/>
    </row>
    <row r="266" spans="5:6" ht="15.75" customHeight="1">
      <c r="E266" s="135"/>
      <c r="F266" s="135"/>
    </row>
    <row r="267" spans="5:6" ht="15.75" customHeight="1">
      <c r="E267" s="135"/>
      <c r="F267" s="135"/>
    </row>
    <row r="268" spans="5:6" ht="15.75" customHeight="1">
      <c r="E268" s="135"/>
      <c r="F268" s="135"/>
    </row>
    <row r="269" spans="5:6" ht="15.75" customHeight="1">
      <c r="E269" s="135"/>
      <c r="F269" s="135"/>
    </row>
    <row r="270" spans="5:6" ht="15.75" customHeight="1">
      <c r="E270" s="135"/>
      <c r="F270" s="135"/>
    </row>
    <row r="271" spans="5:6" ht="15.75" customHeight="1">
      <c r="E271" s="135"/>
      <c r="F271" s="135"/>
    </row>
    <row r="272" spans="5:6" ht="15.75" customHeight="1">
      <c r="E272" s="135"/>
      <c r="F272" s="135"/>
    </row>
    <row r="273" spans="5:6" ht="15.75" customHeight="1">
      <c r="E273" s="135"/>
      <c r="F273" s="135"/>
    </row>
    <row r="274" spans="5:6" ht="15.75" customHeight="1">
      <c r="E274" s="135"/>
      <c r="F274" s="135"/>
    </row>
    <row r="275" spans="5:6" ht="15.75" customHeight="1">
      <c r="E275" s="135"/>
      <c r="F275" s="135"/>
    </row>
    <row r="276" spans="5:6" ht="15.75" customHeight="1">
      <c r="E276" s="135"/>
      <c r="F276" s="135"/>
    </row>
    <row r="277" spans="5:6" ht="15.75" customHeight="1">
      <c r="E277" s="135"/>
      <c r="F277" s="135"/>
    </row>
    <row r="278" spans="5:6" ht="15.75" customHeight="1">
      <c r="E278" s="135"/>
      <c r="F278" s="135"/>
    </row>
    <row r="279" spans="5:6" ht="15.75" customHeight="1">
      <c r="E279" s="135"/>
      <c r="F279" s="135"/>
    </row>
    <row r="280" spans="5:6" ht="15.75" customHeight="1">
      <c r="E280" s="135"/>
      <c r="F280" s="135"/>
    </row>
    <row r="281" spans="5:6" ht="15.75" customHeight="1">
      <c r="E281" s="135"/>
      <c r="F281" s="135"/>
    </row>
    <row r="282" spans="5:6" ht="15.75" customHeight="1">
      <c r="E282" s="135"/>
      <c r="F282" s="135"/>
    </row>
    <row r="283" spans="5:6" ht="15.75" customHeight="1">
      <c r="E283" s="135"/>
      <c r="F283" s="135"/>
    </row>
    <row r="284" spans="5:6" ht="15.75" customHeight="1">
      <c r="E284" s="135"/>
      <c r="F284" s="135"/>
    </row>
    <row r="285" spans="5:6" ht="15.75" customHeight="1">
      <c r="E285" s="135"/>
      <c r="F285" s="135"/>
    </row>
    <row r="286" spans="5:6" ht="15.75" customHeight="1">
      <c r="E286" s="135"/>
      <c r="F286" s="135"/>
    </row>
    <row r="287" spans="5:6" ht="15.75" customHeight="1">
      <c r="E287" s="135"/>
      <c r="F287" s="135"/>
    </row>
    <row r="288" spans="5:6" ht="15.75" customHeight="1">
      <c r="E288" s="135"/>
      <c r="F288" s="135"/>
    </row>
    <row r="289" spans="5:6" ht="15.75" customHeight="1">
      <c r="E289" s="135"/>
      <c r="F289" s="135"/>
    </row>
    <row r="290" spans="5:6" ht="15.75" customHeight="1">
      <c r="E290" s="135"/>
      <c r="F290" s="135"/>
    </row>
    <row r="291" spans="5:6" ht="15.75" customHeight="1">
      <c r="E291" s="135"/>
      <c r="F291" s="135"/>
    </row>
    <row r="292" spans="5:6" ht="15.75" customHeight="1">
      <c r="E292" s="135"/>
      <c r="F292" s="135"/>
    </row>
    <row r="293" spans="5:6" ht="15.75" customHeight="1">
      <c r="E293" s="135"/>
      <c r="F293" s="135"/>
    </row>
    <row r="294" spans="5:6" ht="15.75" customHeight="1">
      <c r="E294" s="135"/>
      <c r="F294" s="135"/>
    </row>
    <row r="295" spans="5:6" ht="15.75" customHeight="1">
      <c r="E295" s="135"/>
      <c r="F295" s="135"/>
    </row>
    <row r="296" spans="5:6" ht="15.75" customHeight="1">
      <c r="E296" s="135"/>
      <c r="F296" s="135"/>
    </row>
    <row r="297" spans="5:6" ht="15.75" customHeight="1">
      <c r="E297" s="135"/>
      <c r="F297" s="135"/>
    </row>
    <row r="298" spans="5:6" ht="15.75" customHeight="1">
      <c r="E298" s="135"/>
      <c r="F298" s="135"/>
    </row>
    <row r="299" spans="5:6" ht="15.75" customHeight="1">
      <c r="E299" s="135"/>
      <c r="F299" s="135"/>
    </row>
    <row r="300" spans="5:6" ht="15.75" customHeight="1">
      <c r="E300" s="135"/>
      <c r="F300" s="135"/>
    </row>
    <row r="301" spans="5:6" ht="15.75" customHeight="1">
      <c r="E301" s="135"/>
      <c r="F301" s="135"/>
    </row>
    <row r="302" spans="5:6" ht="15.75" customHeight="1">
      <c r="E302" s="135"/>
      <c r="F302" s="135"/>
    </row>
    <row r="303" spans="5:6" ht="15.75" customHeight="1">
      <c r="E303" s="135"/>
      <c r="F303" s="135"/>
    </row>
    <row r="304" spans="5:6" ht="15.75" customHeight="1">
      <c r="E304" s="135"/>
      <c r="F304" s="135"/>
    </row>
    <row r="305" spans="5:6" ht="15.75" customHeight="1">
      <c r="E305" s="135"/>
      <c r="F305" s="135"/>
    </row>
    <row r="306" spans="5:6" ht="15.75" customHeight="1">
      <c r="E306" s="135"/>
      <c r="F306" s="135"/>
    </row>
    <row r="307" spans="5:6" ht="15.75" customHeight="1">
      <c r="E307" s="135"/>
      <c r="F307" s="135"/>
    </row>
    <row r="308" spans="5:6" ht="15.75" customHeight="1">
      <c r="E308" s="135"/>
      <c r="F308" s="135"/>
    </row>
    <row r="309" spans="5:6" ht="15.75" customHeight="1">
      <c r="E309" s="135"/>
      <c r="F309" s="135"/>
    </row>
    <row r="310" spans="5:6" ht="15.75" customHeight="1">
      <c r="E310" s="135"/>
      <c r="F310" s="135"/>
    </row>
    <row r="311" spans="5:6" ht="15.75" customHeight="1">
      <c r="E311" s="135"/>
      <c r="F311" s="135"/>
    </row>
    <row r="312" spans="5:6" ht="15.75" customHeight="1">
      <c r="E312" s="135"/>
      <c r="F312" s="135"/>
    </row>
    <row r="313" spans="5:6" ht="15.75" customHeight="1">
      <c r="E313" s="135"/>
      <c r="F313" s="135"/>
    </row>
    <row r="314" spans="5:6" ht="15.75" customHeight="1">
      <c r="E314" s="135"/>
      <c r="F314" s="135"/>
    </row>
    <row r="315" spans="5:6" ht="15.75" customHeight="1">
      <c r="E315" s="135"/>
      <c r="F315" s="135"/>
    </row>
    <row r="316" spans="5:6" ht="15.75" customHeight="1">
      <c r="E316" s="135"/>
      <c r="F316" s="135"/>
    </row>
    <row r="317" spans="5:6" ht="15.75" customHeight="1">
      <c r="E317" s="135"/>
      <c r="F317" s="135"/>
    </row>
    <row r="318" spans="5:6" ht="15.75" customHeight="1">
      <c r="E318" s="135"/>
      <c r="F318" s="135"/>
    </row>
    <row r="319" spans="5:6" ht="15.75" customHeight="1">
      <c r="E319" s="135"/>
      <c r="F319" s="135"/>
    </row>
    <row r="320" spans="5:6" ht="15.75" customHeight="1">
      <c r="E320" s="135"/>
      <c r="F320" s="135"/>
    </row>
    <row r="321" spans="5:6" ht="15.75" customHeight="1">
      <c r="E321" s="135"/>
      <c r="F321" s="135"/>
    </row>
    <row r="322" spans="5:6" ht="15.75" customHeight="1">
      <c r="E322" s="135"/>
      <c r="F322" s="135"/>
    </row>
    <row r="323" spans="5:6" ht="15.75" customHeight="1">
      <c r="E323" s="135"/>
      <c r="F323" s="135"/>
    </row>
    <row r="324" spans="5:6" ht="15.75" customHeight="1">
      <c r="E324" s="135"/>
      <c r="F324" s="135"/>
    </row>
    <row r="325" spans="5:6" ht="15.75" customHeight="1">
      <c r="E325" s="135"/>
      <c r="F325" s="135"/>
    </row>
    <row r="326" spans="5:6" ht="15.75" customHeight="1">
      <c r="E326" s="135"/>
      <c r="F326" s="135"/>
    </row>
    <row r="327" spans="5:6" ht="15.75" customHeight="1">
      <c r="E327" s="135"/>
      <c r="F327" s="135"/>
    </row>
    <row r="328" spans="5:6" ht="15.75" customHeight="1">
      <c r="E328" s="135"/>
      <c r="F328" s="135"/>
    </row>
    <row r="329" spans="5:6" ht="15.75" customHeight="1">
      <c r="E329" s="135"/>
      <c r="F329" s="135"/>
    </row>
    <row r="330" spans="5:6" ht="15.75" customHeight="1">
      <c r="E330" s="135"/>
      <c r="F330" s="135"/>
    </row>
    <row r="331" spans="5:6" ht="15.75" customHeight="1">
      <c r="E331" s="135"/>
      <c r="F331" s="135"/>
    </row>
    <row r="332" spans="5:6" ht="15.75" customHeight="1">
      <c r="E332" s="135"/>
      <c r="F332" s="135"/>
    </row>
    <row r="333" spans="5:6" ht="15.75" customHeight="1">
      <c r="E333" s="135"/>
      <c r="F333" s="135"/>
    </row>
    <row r="334" spans="5:6" ht="15.75" customHeight="1">
      <c r="E334" s="135"/>
      <c r="F334" s="135"/>
    </row>
    <row r="335" spans="5:6" ht="15.75" customHeight="1">
      <c r="E335" s="135"/>
      <c r="F335" s="135"/>
    </row>
    <row r="336" spans="5:6" ht="15.75" customHeight="1">
      <c r="E336" s="135"/>
      <c r="F336" s="135"/>
    </row>
    <row r="337" spans="5:6" ht="15.75" customHeight="1">
      <c r="E337" s="135"/>
      <c r="F337" s="135"/>
    </row>
    <row r="338" spans="5:6" ht="15.75" customHeight="1">
      <c r="E338" s="135"/>
      <c r="F338" s="135"/>
    </row>
    <row r="339" spans="5:6" ht="15.75" customHeight="1">
      <c r="E339" s="135"/>
      <c r="F339" s="135"/>
    </row>
    <row r="340" spans="5:6" ht="15.75" customHeight="1">
      <c r="E340" s="135"/>
      <c r="F340" s="135"/>
    </row>
    <row r="341" spans="5:6" ht="15.75" customHeight="1">
      <c r="E341" s="135"/>
      <c r="F341" s="135"/>
    </row>
    <row r="342" spans="5:6" ht="15.75" customHeight="1">
      <c r="E342" s="135"/>
      <c r="F342" s="135"/>
    </row>
    <row r="343" spans="5:6" ht="15.75" customHeight="1">
      <c r="E343" s="135"/>
      <c r="F343" s="135"/>
    </row>
    <row r="344" spans="5:6" ht="15.75" customHeight="1">
      <c r="E344" s="135"/>
      <c r="F344" s="135"/>
    </row>
    <row r="345" spans="5:6" ht="15.75" customHeight="1">
      <c r="E345" s="135"/>
      <c r="F345" s="135"/>
    </row>
    <row r="346" spans="5:6" ht="15.75" customHeight="1">
      <c r="E346" s="135"/>
      <c r="F346" s="135"/>
    </row>
    <row r="347" spans="5:6" ht="15.75" customHeight="1">
      <c r="E347" s="135"/>
      <c r="F347" s="135"/>
    </row>
    <row r="348" spans="5:6" ht="15.75" customHeight="1">
      <c r="E348" s="135"/>
      <c r="F348" s="135"/>
    </row>
    <row r="349" spans="5:6" ht="15.75" customHeight="1">
      <c r="E349" s="135"/>
      <c r="F349" s="135"/>
    </row>
    <row r="350" spans="5:6" ht="15.75" customHeight="1">
      <c r="E350" s="135"/>
      <c r="F350" s="135"/>
    </row>
    <row r="351" spans="5:6" ht="15.75" customHeight="1">
      <c r="E351" s="135"/>
      <c r="F351" s="135"/>
    </row>
    <row r="352" spans="5:6" ht="15.75" customHeight="1">
      <c r="E352" s="135"/>
      <c r="F352" s="135"/>
    </row>
    <row r="353" spans="5:6" ht="15.75" customHeight="1">
      <c r="E353" s="135"/>
      <c r="F353" s="135"/>
    </row>
    <row r="354" spans="5:6" ht="15.75" customHeight="1">
      <c r="E354" s="135"/>
      <c r="F354" s="135"/>
    </row>
    <row r="355" spans="5:6" ht="15.75" customHeight="1">
      <c r="E355" s="135"/>
      <c r="F355" s="135"/>
    </row>
    <row r="356" spans="5:6" ht="15.75" customHeight="1">
      <c r="E356" s="135"/>
      <c r="F356" s="135"/>
    </row>
    <row r="357" spans="5:6" ht="15.75" customHeight="1">
      <c r="E357" s="135"/>
      <c r="F357" s="135"/>
    </row>
    <row r="358" spans="5:6" ht="15.75" customHeight="1">
      <c r="E358" s="135"/>
      <c r="F358" s="135"/>
    </row>
    <row r="359" spans="5:6" ht="15.75" customHeight="1">
      <c r="E359" s="135"/>
      <c r="F359" s="135"/>
    </row>
    <row r="360" spans="5:6" ht="15.75" customHeight="1">
      <c r="E360" s="135"/>
      <c r="F360" s="135"/>
    </row>
    <row r="361" spans="5:6" ht="15.75" customHeight="1">
      <c r="E361" s="135"/>
      <c r="F361" s="135"/>
    </row>
    <row r="362" spans="5:6" ht="15.75" customHeight="1">
      <c r="E362" s="135"/>
      <c r="F362" s="135"/>
    </row>
    <row r="363" spans="5:6" ht="15.75" customHeight="1">
      <c r="E363" s="135"/>
      <c r="F363" s="135"/>
    </row>
    <row r="364" spans="5:6" ht="15.75" customHeight="1">
      <c r="E364" s="135"/>
      <c r="F364" s="135"/>
    </row>
    <row r="365" spans="5:6" ht="15.75" customHeight="1">
      <c r="E365" s="135"/>
      <c r="F365" s="135"/>
    </row>
    <row r="366" spans="5:6" ht="15.75" customHeight="1">
      <c r="E366" s="135"/>
      <c r="F366" s="135"/>
    </row>
    <row r="367" spans="5:6" ht="15.75" customHeight="1">
      <c r="E367" s="135"/>
      <c r="F367" s="135"/>
    </row>
    <row r="368" spans="5:6" ht="15.75" customHeight="1">
      <c r="E368" s="135"/>
      <c r="F368" s="135"/>
    </row>
    <row r="369" spans="5:6" ht="15.75" customHeight="1">
      <c r="E369" s="135"/>
      <c r="F369" s="135"/>
    </row>
    <row r="370" spans="5:6" ht="15.75" customHeight="1">
      <c r="E370" s="135"/>
      <c r="F370" s="135"/>
    </row>
    <row r="371" spans="5:6" ht="15.75" customHeight="1">
      <c r="E371" s="135"/>
      <c r="F371" s="135"/>
    </row>
    <row r="372" spans="5:6" ht="15.75" customHeight="1">
      <c r="E372" s="135"/>
      <c r="F372" s="135"/>
    </row>
    <row r="373" spans="5:6" ht="15.75" customHeight="1">
      <c r="E373" s="135"/>
      <c r="F373" s="135"/>
    </row>
    <row r="374" spans="5:6" ht="15.75" customHeight="1">
      <c r="E374" s="135"/>
      <c r="F374" s="135"/>
    </row>
    <row r="375" spans="5:6" ht="15.75" customHeight="1">
      <c r="E375" s="135"/>
      <c r="F375" s="135"/>
    </row>
    <row r="376" spans="5:6" ht="15.75" customHeight="1">
      <c r="E376" s="135"/>
      <c r="F376" s="135"/>
    </row>
    <row r="377" spans="5:6" ht="15.75" customHeight="1">
      <c r="E377" s="135"/>
      <c r="F377" s="135"/>
    </row>
    <row r="378" spans="5:6" ht="15.75" customHeight="1">
      <c r="E378" s="135"/>
      <c r="F378" s="135"/>
    </row>
    <row r="379" spans="5:6" ht="15.75" customHeight="1">
      <c r="E379" s="135"/>
      <c r="F379" s="135"/>
    </row>
    <row r="380" spans="5:6" ht="15.75" customHeight="1">
      <c r="E380" s="135"/>
      <c r="F380" s="135"/>
    </row>
    <row r="381" spans="5:6" ht="15.75" customHeight="1">
      <c r="E381" s="135"/>
      <c r="F381" s="135"/>
    </row>
    <row r="382" spans="5:6" ht="15.75" customHeight="1">
      <c r="E382" s="135"/>
      <c r="F382" s="135"/>
    </row>
    <row r="383" spans="5:6" ht="15.75" customHeight="1">
      <c r="E383" s="135"/>
      <c r="F383" s="135"/>
    </row>
    <row r="384" spans="5:6" ht="15.75" customHeight="1">
      <c r="E384" s="135"/>
      <c r="F384" s="135"/>
    </row>
    <row r="385" spans="5:6" ht="15.75" customHeight="1">
      <c r="E385" s="135"/>
      <c r="F385" s="135"/>
    </row>
    <row r="386" spans="5:6" ht="15.75" customHeight="1">
      <c r="E386" s="135"/>
      <c r="F386" s="135"/>
    </row>
    <row r="387" spans="5:6" ht="15.75" customHeight="1">
      <c r="E387" s="135"/>
      <c r="F387" s="135"/>
    </row>
    <row r="388" spans="5:6" ht="15.75" customHeight="1">
      <c r="E388" s="135"/>
      <c r="F388" s="135"/>
    </row>
    <row r="389" spans="5:6" ht="15.75" customHeight="1">
      <c r="E389" s="135"/>
      <c r="F389" s="135"/>
    </row>
    <row r="390" spans="5:6" ht="15.75" customHeight="1">
      <c r="E390" s="135"/>
      <c r="F390" s="135"/>
    </row>
    <row r="391" spans="5:6" ht="15.75" customHeight="1">
      <c r="E391" s="135"/>
      <c r="F391" s="135"/>
    </row>
    <row r="392" spans="5:6" ht="15.75" customHeight="1">
      <c r="E392" s="135"/>
      <c r="F392" s="135"/>
    </row>
    <row r="393" spans="5:6" ht="15.75" customHeight="1">
      <c r="E393" s="135"/>
      <c r="F393" s="135"/>
    </row>
    <row r="394" spans="5:6" ht="15.75" customHeight="1">
      <c r="E394" s="135"/>
      <c r="F394" s="135"/>
    </row>
    <row r="395" spans="5:6" ht="15.75" customHeight="1">
      <c r="E395" s="135"/>
      <c r="F395" s="135"/>
    </row>
    <row r="396" spans="5:6" ht="15.75" customHeight="1">
      <c r="E396" s="135"/>
      <c r="F396" s="135"/>
    </row>
    <row r="397" spans="5:6" ht="15.75" customHeight="1">
      <c r="E397" s="135"/>
      <c r="F397" s="135"/>
    </row>
    <row r="398" spans="5:6" ht="15.75" customHeight="1">
      <c r="E398" s="135"/>
      <c r="F398" s="135"/>
    </row>
    <row r="399" spans="5:6" ht="15.75" customHeight="1">
      <c r="E399" s="135"/>
      <c r="F399" s="135"/>
    </row>
    <row r="400" spans="5:6" ht="15.75" customHeight="1">
      <c r="E400" s="135"/>
      <c r="F400" s="135"/>
    </row>
    <row r="401" spans="5:6" ht="15.75" customHeight="1">
      <c r="E401" s="135"/>
      <c r="F401" s="135"/>
    </row>
    <row r="402" spans="5:6" ht="15.75" customHeight="1">
      <c r="E402" s="135"/>
      <c r="F402" s="135"/>
    </row>
    <row r="403" spans="5:6" ht="15.75" customHeight="1">
      <c r="E403" s="135"/>
      <c r="F403" s="135"/>
    </row>
    <row r="404" spans="5:6" ht="15.75" customHeight="1">
      <c r="E404" s="135"/>
      <c r="F404" s="135"/>
    </row>
    <row r="405" spans="5:6" ht="15.75" customHeight="1">
      <c r="E405" s="135"/>
      <c r="F405" s="135"/>
    </row>
    <row r="406" spans="5:6" ht="15.75" customHeight="1">
      <c r="E406" s="135"/>
      <c r="F406" s="135"/>
    </row>
    <row r="407" spans="5:6" ht="15.75" customHeight="1">
      <c r="E407" s="135"/>
      <c r="F407" s="135"/>
    </row>
    <row r="408" spans="5:6" ht="15.75" customHeight="1">
      <c r="E408" s="135"/>
      <c r="F408" s="135"/>
    </row>
    <row r="409" spans="5:6" ht="15.75" customHeight="1">
      <c r="E409" s="135"/>
      <c r="F409" s="135"/>
    </row>
    <row r="410" spans="5:6" ht="15.75" customHeight="1">
      <c r="E410" s="135"/>
      <c r="F410" s="135"/>
    </row>
    <row r="411" spans="5:6" ht="15.75" customHeight="1">
      <c r="E411" s="135"/>
      <c r="F411" s="135"/>
    </row>
    <row r="412" spans="5:6" ht="15.75" customHeight="1">
      <c r="E412" s="135"/>
      <c r="F412" s="135"/>
    </row>
    <row r="413" spans="5:6" ht="15.75" customHeight="1">
      <c r="E413" s="135"/>
      <c r="F413" s="135"/>
    </row>
    <row r="414" spans="5:6" ht="15.75" customHeight="1">
      <c r="E414" s="135"/>
      <c r="F414" s="135"/>
    </row>
    <row r="415" spans="5:6" ht="15.75" customHeight="1">
      <c r="E415" s="135"/>
      <c r="F415" s="135"/>
    </row>
    <row r="416" spans="5:6" ht="15.75" customHeight="1">
      <c r="E416" s="135"/>
      <c r="F416" s="135"/>
    </row>
    <row r="417" spans="5:6" ht="15.75" customHeight="1">
      <c r="E417" s="135"/>
      <c r="F417" s="135"/>
    </row>
    <row r="418" spans="5:6" ht="15.75" customHeight="1">
      <c r="E418" s="135"/>
      <c r="F418" s="135"/>
    </row>
    <row r="419" spans="5:6" ht="15.75" customHeight="1">
      <c r="E419" s="135"/>
      <c r="F419" s="135"/>
    </row>
    <row r="420" spans="5:6" ht="15.75" customHeight="1">
      <c r="E420" s="135"/>
      <c r="F420" s="135"/>
    </row>
    <row r="421" spans="5:6" ht="15.75" customHeight="1">
      <c r="E421" s="135"/>
      <c r="F421" s="135"/>
    </row>
    <row r="422" spans="5:6" ht="15.75" customHeight="1">
      <c r="E422" s="135"/>
      <c r="F422" s="135"/>
    </row>
    <row r="423" spans="5:6" ht="15.75" customHeight="1">
      <c r="E423" s="135"/>
      <c r="F423" s="135"/>
    </row>
    <row r="424" spans="5:6" ht="15.75" customHeight="1">
      <c r="E424" s="135"/>
      <c r="F424" s="135"/>
    </row>
    <row r="425" spans="5:6" ht="15.75" customHeight="1">
      <c r="E425" s="135"/>
      <c r="F425" s="135"/>
    </row>
    <row r="426" spans="5:6" ht="15.75" customHeight="1">
      <c r="E426" s="135"/>
      <c r="F426" s="135"/>
    </row>
    <row r="427" spans="5:6" ht="15.75" customHeight="1">
      <c r="E427" s="135"/>
      <c r="F427" s="135"/>
    </row>
    <row r="428" spans="5:6" ht="15.75" customHeight="1">
      <c r="E428" s="135"/>
      <c r="F428" s="135"/>
    </row>
    <row r="429" spans="5:6" ht="15.75" customHeight="1">
      <c r="E429" s="135"/>
      <c r="F429" s="135"/>
    </row>
    <row r="430" spans="5:6" ht="15.75" customHeight="1">
      <c r="E430" s="135"/>
      <c r="F430" s="135"/>
    </row>
    <row r="431" spans="5:6" ht="15.75" customHeight="1">
      <c r="E431" s="135"/>
      <c r="F431" s="135"/>
    </row>
    <row r="432" spans="5:6" ht="15.75" customHeight="1">
      <c r="E432" s="135"/>
      <c r="F432" s="135"/>
    </row>
    <row r="433" spans="5:6" ht="15.75" customHeight="1">
      <c r="E433" s="135"/>
      <c r="F433" s="135"/>
    </row>
    <row r="434" spans="5:6" ht="15.75" customHeight="1">
      <c r="E434" s="135"/>
      <c r="F434" s="135"/>
    </row>
    <row r="435" spans="5:6" ht="15.75" customHeight="1">
      <c r="E435" s="135"/>
      <c r="F435" s="135"/>
    </row>
    <row r="436" spans="5:6" ht="15.75" customHeight="1">
      <c r="E436" s="135"/>
      <c r="F436" s="135"/>
    </row>
    <row r="437" spans="5:6" ht="15.75" customHeight="1">
      <c r="E437" s="135"/>
      <c r="F437" s="135"/>
    </row>
    <row r="438" spans="5:6" ht="15.75" customHeight="1">
      <c r="E438" s="135"/>
      <c r="F438" s="135"/>
    </row>
    <row r="439" spans="5:6" ht="15.75" customHeight="1">
      <c r="E439" s="135"/>
      <c r="F439" s="135"/>
    </row>
    <row r="440" spans="5:6" ht="15.75" customHeight="1">
      <c r="E440" s="135"/>
      <c r="F440" s="135"/>
    </row>
    <row r="441" spans="5:6" ht="15.75" customHeight="1">
      <c r="E441" s="135"/>
      <c r="F441" s="135"/>
    </row>
    <row r="442" spans="5:6" ht="15.75" customHeight="1">
      <c r="E442" s="135"/>
      <c r="F442" s="135"/>
    </row>
    <row r="443" spans="5:6" ht="15.75" customHeight="1">
      <c r="E443" s="135"/>
      <c r="F443" s="135"/>
    </row>
    <row r="444" spans="5:6" ht="15.75" customHeight="1">
      <c r="E444" s="135"/>
      <c r="F444" s="135"/>
    </row>
    <row r="445" spans="5:6" ht="15.75" customHeight="1">
      <c r="E445" s="135"/>
      <c r="F445" s="135"/>
    </row>
    <row r="446" spans="5:6" ht="15.75" customHeight="1">
      <c r="E446" s="135"/>
      <c r="F446" s="135"/>
    </row>
    <row r="447" spans="5:6" ht="15.75" customHeight="1">
      <c r="E447" s="135"/>
      <c r="F447" s="135"/>
    </row>
    <row r="448" spans="5:6" ht="15.75" customHeight="1">
      <c r="E448" s="135"/>
      <c r="F448" s="135"/>
    </row>
    <row r="449" spans="5:6" ht="15.75" customHeight="1">
      <c r="E449" s="135"/>
      <c r="F449" s="135"/>
    </row>
    <row r="450" spans="5:6" ht="15.75" customHeight="1">
      <c r="E450" s="135"/>
      <c r="F450" s="135"/>
    </row>
    <row r="451" spans="5:6" ht="15.75" customHeight="1">
      <c r="E451" s="135"/>
      <c r="F451" s="135"/>
    </row>
    <row r="452" spans="5:6" ht="15.75" customHeight="1">
      <c r="E452" s="135"/>
      <c r="F452" s="135"/>
    </row>
    <row r="453" spans="5:6" ht="15.75" customHeight="1">
      <c r="E453" s="135"/>
      <c r="F453" s="135"/>
    </row>
    <row r="454" spans="5:6" ht="15.75" customHeight="1">
      <c r="E454" s="135"/>
      <c r="F454" s="135"/>
    </row>
    <row r="455" spans="5:6" ht="15.75" customHeight="1">
      <c r="E455" s="135"/>
      <c r="F455" s="135"/>
    </row>
    <row r="456" spans="5:6" ht="15.75" customHeight="1">
      <c r="E456" s="135"/>
      <c r="F456" s="135"/>
    </row>
    <row r="457" spans="5:6" ht="15.75" customHeight="1">
      <c r="E457" s="135"/>
      <c r="F457" s="135"/>
    </row>
    <row r="458" spans="5:6" ht="15.75" customHeight="1">
      <c r="E458" s="135"/>
      <c r="F458" s="135"/>
    </row>
    <row r="459" spans="5:6" ht="15.75" customHeight="1">
      <c r="E459" s="135"/>
      <c r="F459" s="135"/>
    </row>
    <row r="460" spans="5:6" ht="15.75" customHeight="1">
      <c r="E460" s="135"/>
      <c r="F460" s="135"/>
    </row>
    <row r="461" spans="5:6" ht="15.75" customHeight="1">
      <c r="E461" s="135"/>
      <c r="F461" s="135"/>
    </row>
    <row r="462" spans="5:6" ht="15.75" customHeight="1">
      <c r="E462" s="135"/>
      <c r="F462" s="135"/>
    </row>
    <row r="463" spans="5:6" ht="15.75" customHeight="1">
      <c r="E463" s="135"/>
      <c r="F463" s="135"/>
    </row>
    <row r="464" spans="5:6" ht="15.75" customHeight="1">
      <c r="E464" s="135"/>
      <c r="F464" s="135"/>
    </row>
    <row r="465" spans="5:6" ht="15.75" customHeight="1">
      <c r="E465" s="135"/>
      <c r="F465" s="135"/>
    </row>
    <row r="466" spans="5:6" ht="15.75" customHeight="1">
      <c r="E466" s="135"/>
      <c r="F466" s="135"/>
    </row>
    <row r="467" spans="5:6" ht="15.75" customHeight="1">
      <c r="E467" s="135"/>
      <c r="F467" s="135"/>
    </row>
    <row r="468" spans="5:6" ht="15.75" customHeight="1">
      <c r="E468" s="135"/>
      <c r="F468" s="135"/>
    </row>
    <row r="469" spans="5:6" ht="15.75" customHeight="1">
      <c r="E469" s="135"/>
      <c r="F469" s="135"/>
    </row>
    <row r="470" spans="5:6" ht="15.75" customHeight="1">
      <c r="E470" s="135"/>
      <c r="F470" s="135"/>
    </row>
    <row r="471" spans="5:6" ht="15.75" customHeight="1">
      <c r="E471" s="135"/>
      <c r="F471" s="135"/>
    </row>
    <row r="472" spans="5:6" ht="15.75" customHeight="1">
      <c r="E472" s="135"/>
      <c r="F472" s="135"/>
    </row>
    <row r="473" spans="5:6" ht="15.75" customHeight="1">
      <c r="E473" s="135"/>
      <c r="F473" s="135"/>
    </row>
    <row r="474" spans="5:6" ht="15.75" customHeight="1">
      <c r="E474" s="135"/>
      <c r="F474" s="135"/>
    </row>
    <row r="475" spans="5:6" ht="15.75" customHeight="1">
      <c r="E475" s="135"/>
      <c r="F475" s="135"/>
    </row>
    <row r="476" spans="5:6" ht="15.75" customHeight="1">
      <c r="E476" s="135"/>
      <c r="F476" s="135"/>
    </row>
    <row r="477" spans="5:6" ht="15.75" customHeight="1">
      <c r="E477" s="135"/>
      <c r="F477" s="135"/>
    </row>
    <row r="478" spans="5:6" ht="15.75" customHeight="1">
      <c r="E478" s="135"/>
      <c r="F478" s="135"/>
    </row>
    <row r="479" spans="5:6" ht="15.75" customHeight="1">
      <c r="E479" s="135"/>
      <c r="F479" s="135"/>
    </row>
    <row r="480" spans="5:6" ht="15.75" customHeight="1">
      <c r="E480" s="135"/>
      <c r="F480" s="135"/>
    </row>
    <row r="481" spans="5:6" ht="15.75" customHeight="1">
      <c r="E481" s="135"/>
      <c r="F481" s="135"/>
    </row>
    <row r="482" spans="5:6" ht="15.75" customHeight="1">
      <c r="E482" s="135"/>
      <c r="F482" s="135"/>
    </row>
    <row r="483" spans="5:6" ht="15.75" customHeight="1">
      <c r="E483" s="135"/>
      <c r="F483" s="135"/>
    </row>
    <row r="484" spans="5:6" ht="15.75" customHeight="1">
      <c r="E484" s="135"/>
      <c r="F484" s="135"/>
    </row>
    <row r="485" spans="5:6" ht="15.75" customHeight="1">
      <c r="E485" s="135"/>
      <c r="F485" s="135"/>
    </row>
    <row r="486" spans="5:6" ht="15.75" customHeight="1">
      <c r="E486" s="135"/>
      <c r="F486" s="135"/>
    </row>
    <row r="487" spans="5:6" ht="15.75" customHeight="1">
      <c r="E487" s="135"/>
      <c r="F487" s="135"/>
    </row>
    <row r="488" spans="5:6" ht="15.75" customHeight="1">
      <c r="E488" s="135"/>
      <c r="F488" s="135"/>
    </row>
    <row r="489" spans="5:6" ht="15.75" customHeight="1">
      <c r="E489" s="135"/>
      <c r="F489" s="135"/>
    </row>
    <row r="490" spans="5:6" ht="15.75" customHeight="1">
      <c r="E490" s="135"/>
      <c r="F490" s="135"/>
    </row>
    <row r="491" spans="5:6" ht="15.75" customHeight="1">
      <c r="E491" s="135"/>
      <c r="F491" s="135"/>
    </row>
    <row r="492" spans="5:6" ht="15.75" customHeight="1">
      <c r="E492" s="135"/>
      <c r="F492" s="135"/>
    </row>
    <row r="493" spans="5:6" ht="15.75" customHeight="1">
      <c r="E493" s="135"/>
      <c r="F493" s="135"/>
    </row>
    <row r="494" spans="5:6" ht="15.75" customHeight="1">
      <c r="E494" s="135"/>
      <c r="F494" s="135"/>
    </row>
    <row r="495" spans="5:6" ht="15.75" customHeight="1">
      <c r="E495" s="135"/>
      <c r="F495" s="135"/>
    </row>
    <row r="496" spans="5:6" ht="15.75" customHeight="1">
      <c r="E496" s="135"/>
      <c r="F496" s="135"/>
    </row>
    <row r="497" spans="5:6" ht="15.75" customHeight="1">
      <c r="E497" s="135"/>
      <c r="F497" s="135"/>
    </row>
    <row r="498" spans="5:6" ht="15.75" customHeight="1">
      <c r="E498" s="135"/>
      <c r="F498" s="135"/>
    </row>
    <row r="499" spans="5:6" ht="15.75" customHeight="1">
      <c r="E499" s="135"/>
      <c r="F499" s="135"/>
    </row>
    <row r="500" spans="5:6" ht="15.75" customHeight="1">
      <c r="E500" s="135"/>
      <c r="F500" s="135"/>
    </row>
    <row r="501" spans="5:6" ht="15.75" customHeight="1">
      <c r="E501" s="135"/>
      <c r="F501" s="135"/>
    </row>
    <row r="502" spans="5:6" ht="15.75" customHeight="1">
      <c r="E502" s="135"/>
      <c r="F502" s="135"/>
    </row>
    <row r="503" spans="5:6" ht="15.75" customHeight="1">
      <c r="E503" s="135"/>
      <c r="F503" s="135"/>
    </row>
    <row r="504" spans="5:6" ht="15.75" customHeight="1">
      <c r="E504" s="135"/>
      <c r="F504" s="135"/>
    </row>
    <row r="505" spans="5:6" ht="15.75" customHeight="1">
      <c r="E505" s="135"/>
      <c r="F505" s="135"/>
    </row>
    <row r="506" spans="5:6" ht="15.75" customHeight="1">
      <c r="E506" s="135"/>
      <c r="F506" s="135"/>
    </row>
    <row r="507" spans="5:6" ht="15.75" customHeight="1">
      <c r="E507" s="135"/>
      <c r="F507" s="135"/>
    </row>
    <row r="508" spans="5:6" ht="15.75" customHeight="1">
      <c r="E508" s="135"/>
      <c r="F508" s="135"/>
    </row>
    <row r="509" spans="5:6" ht="15.75" customHeight="1">
      <c r="E509" s="135"/>
      <c r="F509" s="135"/>
    </row>
    <row r="510" spans="5:6" ht="15.75" customHeight="1">
      <c r="E510" s="135"/>
      <c r="F510" s="135"/>
    </row>
    <row r="511" spans="5:6" ht="15.75" customHeight="1">
      <c r="E511" s="135"/>
      <c r="F511" s="135"/>
    </row>
    <row r="512" spans="5:6" ht="15.75" customHeight="1">
      <c r="E512" s="135"/>
      <c r="F512" s="135"/>
    </row>
    <row r="513" spans="5:6" ht="15.75" customHeight="1">
      <c r="E513" s="135"/>
      <c r="F513" s="135"/>
    </row>
    <row r="514" spans="5:6" ht="15.75" customHeight="1">
      <c r="E514" s="135"/>
      <c r="F514" s="135"/>
    </row>
    <row r="515" spans="5:6" ht="15.75" customHeight="1">
      <c r="E515" s="135"/>
      <c r="F515" s="135"/>
    </row>
    <row r="516" spans="5:6" ht="15.75" customHeight="1">
      <c r="E516" s="135"/>
      <c r="F516" s="135"/>
    </row>
    <row r="517" spans="5:6" ht="15.75" customHeight="1">
      <c r="E517" s="135"/>
      <c r="F517" s="135"/>
    </row>
    <row r="518" spans="5:6" ht="15.75" customHeight="1">
      <c r="E518" s="135"/>
      <c r="F518" s="135"/>
    </row>
    <row r="519" spans="5:6" ht="15.75" customHeight="1">
      <c r="E519" s="135"/>
      <c r="F519" s="135"/>
    </row>
    <row r="520" spans="5:6" ht="15.75" customHeight="1">
      <c r="E520" s="135"/>
      <c r="F520" s="135"/>
    </row>
    <row r="521" spans="5:6" ht="15.75" customHeight="1">
      <c r="E521" s="135"/>
      <c r="F521" s="135"/>
    </row>
    <row r="522" spans="5:6" ht="15.75" customHeight="1">
      <c r="E522" s="135"/>
      <c r="F522" s="135"/>
    </row>
    <row r="523" spans="5:6" ht="15.75" customHeight="1">
      <c r="E523" s="135"/>
      <c r="F523" s="135"/>
    </row>
    <row r="524" spans="5:6" ht="15.75" customHeight="1">
      <c r="E524" s="135"/>
      <c r="F524" s="135"/>
    </row>
    <row r="525" spans="5:6" ht="15.75" customHeight="1">
      <c r="E525" s="135"/>
      <c r="F525" s="135"/>
    </row>
    <row r="526" spans="5:6" ht="15.75" customHeight="1">
      <c r="E526" s="135"/>
      <c r="F526" s="135"/>
    </row>
    <row r="527" spans="5:6" ht="15.75" customHeight="1">
      <c r="E527" s="135"/>
      <c r="F527" s="135"/>
    </row>
    <row r="528" spans="5:6" ht="15.75" customHeight="1">
      <c r="E528" s="135"/>
      <c r="F528" s="135"/>
    </row>
    <row r="529" spans="5:6" ht="15.75" customHeight="1">
      <c r="E529" s="135"/>
      <c r="F529" s="135"/>
    </row>
    <row r="530" spans="5:6" ht="15.75" customHeight="1">
      <c r="E530" s="135"/>
      <c r="F530" s="135"/>
    </row>
    <row r="531" spans="5:6" ht="15.75" customHeight="1">
      <c r="E531" s="135"/>
      <c r="F531" s="135"/>
    </row>
    <row r="532" spans="5:6" ht="15.75" customHeight="1">
      <c r="E532" s="135"/>
      <c r="F532" s="135"/>
    </row>
    <row r="533" spans="5:6" ht="15.75" customHeight="1">
      <c r="E533" s="135"/>
      <c r="F533" s="135"/>
    </row>
    <row r="534" spans="5:6" ht="15.75" customHeight="1">
      <c r="E534" s="135"/>
      <c r="F534" s="135"/>
    </row>
    <row r="535" spans="5:6" ht="15.75" customHeight="1">
      <c r="E535" s="135"/>
      <c r="F535" s="135"/>
    </row>
    <row r="536" spans="5:6" ht="15.75" customHeight="1">
      <c r="E536" s="135"/>
      <c r="F536" s="135"/>
    </row>
    <row r="537" spans="5:6" ht="15.75" customHeight="1">
      <c r="E537" s="135"/>
      <c r="F537" s="135"/>
    </row>
    <row r="538" spans="5:6" ht="15.75" customHeight="1">
      <c r="E538" s="135"/>
      <c r="F538" s="135"/>
    </row>
    <row r="539" spans="5:6" ht="15.75" customHeight="1">
      <c r="E539" s="135"/>
      <c r="F539" s="135"/>
    </row>
    <row r="540" spans="5:6" ht="15.75" customHeight="1">
      <c r="E540" s="135"/>
      <c r="F540" s="135"/>
    </row>
    <row r="541" spans="5:6" ht="15.75" customHeight="1">
      <c r="E541" s="135"/>
      <c r="F541" s="135"/>
    </row>
    <row r="542" spans="5:6" ht="15.75" customHeight="1">
      <c r="E542" s="135"/>
      <c r="F542" s="135"/>
    </row>
    <row r="543" spans="5:6" ht="15.75" customHeight="1">
      <c r="E543" s="135"/>
      <c r="F543" s="135"/>
    </row>
    <row r="544" spans="5:6" ht="15.75" customHeight="1">
      <c r="E544" s="135"/>
      <c r="F544" s="135"/>
    </row>
    <row r="545" spans="5:6" ht="15.75" customHeight="1">
      <c r="E545" s="135"/>
      <c r="F545" s="135"/>
    </row>
    <row r="546" spans="5:6" ht="15.75" customHeight="1">
      <c r="E546" s="135"/>
      <c r="F546" s="135"/>
    </row>
    <row r="547" spans="5:6" ht="15.75" customHeight="1">
      <c r="E547" s="135"/>
      <c r="F547" s="135"/>
    </row>
    <row r="548" spans="5:6" ht="15.75" customHeight="1">
      <c r="E548" s="135"/>
      <c r="F548" s="135"/>
    </row>
    <row r="549" spans="5:6" ht="15.75" customHeight="1">
      <c r="E549" s="135"/>
      <c r="F549" s="135"/>
    </row>
    <row r="550" spans="5:6" ht="15.75" customHeight="1">
      <c r="E550" s="135"/>
      <c r="F550" s="135"/>
    </row>
    <row r="551" spans="5:6" ht="15.75" customHeight="1">
      <c r="E551" s="135"/>
      <c r="F551" s="135"/>
    </row>
    <row r="552" spans="5:6" ht="15.75" customHeight="1">
      <c r="E552" s="135"/>
      <c r="F552" s="135"/>
    </row>
    <row r="553" spans="5:6" ht="15.75" customHeight="1">
      <c r="E553" s="135"/>
      <c r="F553" s="135"/>
    </row>
    <row r="554" spans="5:6" ht="15.75" customHeight="1">
      <c r="E554" s="135"/>
      <c r="F554" s="135"/>
    </row>
    <row r="555" spans="5:6" ht="15.75" customHeight="1">
      <c r="E555" s="135"/>
      <c r="F555" s="135"/>
    </row>
    <row r="556" spans="5:6" ht="15.75" customHeight="1">
      <c r="E556" s="135"/>
      <c r="F556" s="135"/>
    </row>
    <row r="557" spans="5:6" ht="15.75" customHeight="1">
      <c r="E557" s="135"/>
      <c r="F557" s="135"/>
    </row>
    <row r="558" spans="5:6" ht="15.75" customHeight="1">
      <c r="E558" s="135"/>
      <c r="F558" s="135"/>
    </row>
    <row r="559" spans="5:6" ht="15.75" customHeight="1">
      <c r="E559" s="135"/>
      <c r="F559" s="135"/>
    </row>
    <row r="560" spans="5:6" ht="15.75" customHeight="1">
      <c r="E560" s="135"/>
      <c r="F560" s="135"/>
    </row>
    <row r="561" spans="5:6" ht="15.75" customHeight="1">
      <c r="E561" s="135"/>
      <c r="F561" s="135"/>
    </row>
    <row r="562" spans="5:6" ht="15.75" customHeight="1">
      <c r="E562" s="135"/>
      <c r="F562" s="135"/>
    </row>
    <row r="563" spans="5:6" ht="15.75" customHeight="1">
      <c r="E563" s="135"/>
      <c r="F563" s="135"/>
    </row>
    <row r="564" spans="5:6" ht="15.75" customHeight="1">
      <c r="E564" s="135"/>
      <c r="F564" s="135"/>
    </row>
    <row r="565" spans="5:6" ht="15.75" customHeight="1">
      <c r="E565" s="135"/>
      <c r="F565" s="135"/>
    </row>
    <row r="566" spans="5:6" ht="15.75" customHeight="1">
      <c r="E566" s="135"/>
      <c r="F566" s="135"/>
    </row>
    <row r="567" spans="5:6" ht="15.75" customHeight="1">
      <c r="E567" s="135"/>
      <c r="F567" s="135"/>
    </row>
    <row r="568" spans="5:6" ht="15.75" customHeight="1">
      <c r="E568" s="135"/>
      <c r="F568" s="135"/>
    </row>
    <row r="569" spans="5:6" ht="15.75" customHeight="1">
      <c r="E569" s="135"/>
      <c r="F569" s="135"/>
    </row>
    <row r="570" spans="5:6" ht="15.75" customHeight="1">
      <c r="E570" s="135"/>
      <c r="F570" s="135"/>
    </row>
    <row r="571" spans="5:6" ht="15.75" customHeight="1">
      <c r="E571" s="135"/>
      <c r="F571" s="135"/>
    </row>
    <row r="572" spans="5:6" ht="15.75" customHeight="1">
      <c r="E572" s="135"/>
      <c r="F572" s="135"/>
    </row>
    <row r="573" spans="5:6" ht="15.75" customHeight="1">
      <c r="E573" s="135"/>
      <c r="F573" s="135"/>
    </row>
    <row r="574" spans="5:6" ht="15.75" customHeight="1">
      <c r="E574" s="135"/>
      <c r="F574" s="135"/>
    </row>
    <row r="575" spans="5:6" ht="15.75" customHeight="1">
      <c r="E575" s="135"/>
      <c r="F575" s="135"/>
    </row>
    <row r="576" spans="5:6" ht="15.75" customHeight="1">
      <c r="E576" s="135"/>
      <c r="F576" s="135"/>
    </row>
    <row r="577" spans="5:6" ht="15.75" customHeight="1">
      <c r="E577" s="135"/>
      <c r="F577" s="135"/>
    </row>
    <row r="578" spans="5:6" ht="15.75" customHeight="1">
      <c r="E578" s="135"/>
      <c r="F578" s="135"/>
    </row>
    <row r="579" spans="5:6" ht="15.75" customHeight="1">
      <c r="E579" s="135"/>
      <c r="F579" s="135"/>
    </row>
    <row r="580" spans="5:6" ht="15.75" customHeight="1">
      <c r="E580" s="135"/>
      <c r="F580" s="135"/>
    </row>
    <row r="581" spans="5:6" ht="15.75" customHeight="1">
      <c r="E581" s="135"/>
      <c r="F581" s="135"/>
    </row>
    <row r="582" spans="5:6" ht="15.75" customHeight="1">
      <c r="E582" s="135"/>
      <c r="F582" s="135"/>
    </row>
    <row r="583" spans="5:6" ht="15.75" customHeight="1">
      <c r="E583" s="135"/>
      <c r="F583" s="135"/>
    </row>
    <row r="584" spans="5:6" ht="15.75" customHeight="1">
      <c r="E584" s="135"/>
      <c r="F584" s="135"/>
    </row>
    <row r="585" spans="5:6" ht="15.75" customHeight="1">
      <c r="E585" s="135"/>
      <c r="F585" s="135"/>
    </row>
    <row r="586" spans="5:6" ht="15.75" customHeight="1">
      <c r="E586" s="135"/>
      <c r="F586" s="135"/>
    </row>
    <row r="587" spans="5:6" ht="15.75" customHeight="1">
      <c r="E587" s="135"/>
      <c r="F587" s="135"/>
    </row>
    <row r="588" spans="5:6" ht="15.75" customHeight="1">
      <c r="E588" s="135"/>
      <c r="F588" s="135"/>
    </row>
    <row r="589" spans="5:6" ht="15.75" customHeight="1">
      <c r="E589" s="135"/>
      <c r="F589" s="135"/>
    </row>
    <row r="590" spans="5:6" ht="15.75" customHeight="1">
      <c r="E590" s="135"/>
      <c r="F590" s="135"/>
    </row>
    <row r="591" spans="5:6" ht="15.75" customHeight="1">
      <c r="E591" s="135"/>
      <c r="F591" s="135"/>
    </row>
    <row r="592" spans="5:6" ht="15.75" customHeight="1">
      <c r="E592" s="135"/>
      <c r="F592" s="135"/>
    </row>
    <row r="593" spans="5:6" ht="15.75" customHeight="1">
      <c r="E593" s="135"/>
      <c r="F593" s="135"/>
    </row>
    <row r="594" spans="5:6" ht="15.75" customHeight="1">
      <c r="E594" s="135"/>
      <c r="F594" s="135"/>
    </row>
    <row r="595" spans="5:6" ht="15.75" customHeight="1">
      <c r="E595" s="135"/>
      <c r="F595" s="135"/>
    </row>
    <row r="596" spans="5:6" ht="15.75" customHeight="1">
      <c r="E596" s="135"/>
      <c r="F596" s="135"/>
    </row>
    <row r="597" spans="5:6" ht="15.75" customHeight="1">
      <c r="E597" s="135"/>
      <c r="F597" s="135"/>
    </row>
    <row r="598" spans="5:6" ht="15.75" customHeight="1">
      <c r="E598" s="135"/>
      <c r="F598" s="135"/>
    </row>
    <row r="599" spans="5:6" ht="15.75" customHeight="1">
      <c r="E599" s="135"/>
      <c r="F599" s="135"/>
    </row>
    <row r="600" spans="5:6" ht="15.75" customHeight="1">
      <c r="E600" s="135"/>
      <c r="F600" s="135"/>
    </row>
    <row r="601" spans="5:6" ht="15.75" customHeight="1">
      <c r="E601" s="135"/>
      <c r="F601" s="135"/>
    </row>
    <row r="602" spans="5:6" ht="15.75" customHeight="1">
      <c r="E602" s="135"/>
      <c r="F602" s="135"/>
    </row>
    <row r="603" spans="5:6" ht="15.75" customHeight="1">
      <c r="E603" s="135"/>
      <c r="F603" s="135"/>
    </row>
    <row r="604" spans="5:6" ht="15.75" customHeight="1">
      <c r="E604" s="135"/>
      <c r="F604" s="135"/>
    </row>
    <row r="605" spans="5:6" ht="15.75" customHeight="1">
      <c r="E605" s="135"/>
      <c r="F605" s="135"/>
    </row>
    <row r="606" spans="5:6" ht="15.75" customHeight="1">
      <c r="E606" s="135"/>
      <c r="F606" s="135"/>
    </row>
    <row r="607" spans="5:6" ht="15.75" customHeight="1">
      <c r="E607" s="135"/>
      <c r="F607" s="135"/>
    </row>
    <row r="608" spans="5:6" ht="15.75" customHeight="1">
      <c r="E608" s="135"/>
      <c r="F608" s="135"/>
    </row>
    <row r="609" spans="5:6" ht="15.75" customHeight="1">
      <c r="E609" s="135"/>
      <c r="F609" s="135"/>
    </row>
    <row r="610" spans="5:6" ht="15.75" customHeight="1">
      <c r="E610" s="135"/>
      <c r="F610" s="135"/>
    </row>
    <row r="611" spans="5:6" ht="15.75" customHeight="1">
      <c r="E611" s="135"/>
      <c r="F611" s="135"/>
    </row>
    <row r="612" spans="5:6" ht="15.75" customHeight="1">
      <c r="E612" s="135"/>
      <c r="F612" s="135"/>
    </row>
    <row r="613" spans="5:6" ht="15.75" customHeight="1">
      <c r="E613" s="135"/>
      <c r="F613" s="135"/>
    </row>
    <row r="614" spans="5:6" ht="15.75" customHeight="1">
      <c r="E614" s="135"/>
      <c r="F614" s="135"/>
    </row>
    <row r="615" spans="5:6" ht="15.75" customHeight="1">
      <c r="E615" s="135"/>
      <c r="F615" s="135"/>
    </row>
    <row r="616" spans="5:6" ht="15.75" customHeight="1">
      <c r="E616" s="135"/>
      <c r="F616" s="135"/>
    </row>
    <row r="617" spans="5:6" ht="15.75" customHeight="1">
      <c r="E617" s="135"/>
      <c r="F617" s="135"/>
    </row>
    <row r="618" spans="5:6" ht="15.75" customHeight="1">
      <c r="E618" s="135"/>
      <c r="F618" s="135"/>
    </row>
    <row r="619" spans="5:6" ht="15.75" customHeight="1">
      <c r="E619" s="135"/>
      <c r="F619" s="135"/>
    </row>
    <row r="620" spans="5:6" ht="15.75" customHeight="1">
      <c r="E620" s="135"/>
      <c r="F620" s="135"/>
    </row>
    <row r="621" spans="5:6" ht="15.75" customHeight="1">
      <c r="E621" s="135"/>
      <c r="F621" s="135"/>
    </row>
    <row r="622" spans="5:6" ht="15.75" customHeight="1">
      <c r="E622" s="135"/>
      <c r="F622" s="135"/>
    </row>
    <row r="623" spans="5:6" ht="15.75" customHeight="1">
      <c r="E623" s="135"/>
      <c r="F623" s="135"/>
    </row>
    <row r="624" spans="5:6" ht="15.75" customHeight="1">
      <c r="E624" s="135"/>
      <c r="F624" s="135"/>
    </row>
    <row r="625" spans="5:6" ht="15.75" customHeight="1">
      <c r="E625" s="135"/>
      <c r="F625" s="135"/>
    </row>
    <row r="626" spans="5:6" ht="15.75" customHeight="1">
      <c r="E626" s="135"/>
      <c r="F626" s="135"/>
    </row>
    <row r="627" spans="5:6" ht="15.75" customHeight="1">
      <c r="E627" s="135"/>
      <c r="F627" s="135"/>
    </row>
    <row r="628" spans="5:6" ht="15.75" customHeight="1">
      <c r="E628" s="135"/>
      <c r="F628" s="135"/>
    </row>
    <row r="629" spans="5:6" ht="15.75" customHeight="1">
      <c r="E629" s="135"/>
      <c r="F629" s="135"/>
    </row>
    <row r="630" spans="5:6" ht="15.75" customHeight="1">
      <c r="E630" s="135"/>
      <c r="F630" s="135"/>
    </row>
    <row r="631" spans="5:6" ht="15.75" customHeight="1">
      <c r="E631" s="135"/>
      <c r="F631" s="135"/>
    </row>
    <row r="632" spans="5:6" ht="15.75" customHeight="1">
      <c r="E632" s="135"/>
      <c r="F632" s="135"/>
    </row>
    <row r="633" spans="5:6" ht="15.75" customHeight="1">
      <c r="E633" s="135"/>
      <c r="F633" s="135"/>
    </row>
    <row r="634" spans="5:6" ht="15.75" customHeight="1">
      <c r="E634" s="135"/>
      <c r="F634" s="135"/>
    </row>
    <row r="635" spans="5:6" ht="15.75" customHeight="1">
      <c r="E635" s="135"/>
      <c r="F635" s="135"/>
    </row>
    <row r="636" spans="5:6" ht="15.75" customHeight="1">
      <c r="E636" s="135"/>
      <c r="F636" s="135"/>
    </row>
    <row r="637" spans="5:6" ht="15.75" customHeight="1">
      <c r="E637" s="135"/>
      <c r="F637" s="135"/>
    </row>
    <row r="638" spans="5:6" ht="15.75" customHeight="1">
      <c r="E638" s="135"/>
      <c r="F638" s="135"/>
    </row>
    <row r="639" spans="5:6" ht="15.75" customHeight="1">
      <c r="E639" s="135"/>
      <c r="F639" s="135"/>
    </row>
    <row r="640" spans="5:6" ht="15.75" customHeight="1">
      <c r="E640" s="135"/>
      <c r="F640" s="135"/>
    </row>
    <row r="641" spans="5:6" ht="15.75" customHeight="1">
      <c r="E641" s="135"/>
      <c r="F641" s="135"/>
    </row>
    <row r="642" spans="5:6" ht="15.75" customHeight="1">
      <c r="E642" s="135"/>
      <c r="F642" s="135"/>
    </row>
    <row r="643" spans="5:6" ht="15.75" customHeight="1">
      <c r="E643" s="135"/>
      <c r="F643" s="135"/>
    </row>
    <row r="644" spans="5:6" ht="15.75" customHeight="1">
      <c r="E644" s="135"/>
      <c r="F644" s="135"/>
    </row>
    <row r="645" spans="5:6" ht="15.75" customHeight="1">
      <c r="E645" s="135"/>
      <c r="F645" s="135"/>
    </row>
    <row r="646" spans="5:6" ht="15.75" customHeight="1">
      <c r="E646" s="135"/>
      <c r="F646" s="135"/>
    </row>
    <row r="647" spans="5:6" ht="15.75" customHeight="1">
      <c r="E647" s="135"/>
      <c r="F647" s="135"/>
    </row>
    <row r="648" spans="5:6" ht="15.75" customHeight="1">
      <c r="E648" s="135"/>
      <c r="F648" s="135"/>
    </row>
    <row r="649" spans="5:6" ht="15.75" customHeight="1">
      <c r="E649" s="135"/>
      <c r="F649" s="135"/>
    </row>
    <row r="650" spans="5:6" ht="15.75" customHeight="1">
      <c r="E650" s="135"/>
      <c r="F650" s="135"/>
    </row>
    <row r="651" spans="5:6" ht="15.75" customHeight="1">
      <c r="E651" s="135"/>
      <c r="F651" s="135"/>
    </row>
    <row r="652" spans="5:6" ht="15.75" customHeight="1">
      <c r="E652" s="135"/>
      <c r="F652" s="135"/>
    </row>
    <row r="653" spans="5:6" ht="15.75" customHeight="1">
      <c r="E653" s="135"/>
      <c r="F653" s="135"/>
    </row>
    <row r="654" spans="5:6" ht="15.75" customHeight="1">
      <c r="E654" s="135"/>
      <c r="F654" s="135"/>
    </row>
    <row r="655" spans="5:6" ht="15.75" customHeight="1">
      <c r="E655" s="135"/>
      <c r="F655" s="135"/>
    </row>
    <row r="656" spans="5:6" ht="15.75" customHeight="1">
      <c r="E656" s="135"/>
      <c r="F656" s="135"/>
    </row>
    <row r="657" spans="5:6" ht="15.75" customHeight="1">
      <c r="E657" s="135"/>
      <c r="F657" s="135"/>
    </row>
    <row r="658" spans="5:6" ht="15.75" customHeight="1">
      <c r="E658" s="135"/>
      <c r="F658" s="135"/>
    </row>
    <row r="659" spans="5:6" ht="15.75" customHeight="1">
      <c r="E659" s="135"/>
      <c r="F659" s="135"/>
    </row>
    <row r="660" spans="5:6" ht="15.75" customHeight="1">
      <c r="E660" s="135"/>
      <c r="F660" s="135"/>
    </row>
    <row r="661" spans="5:6" ht="15.75" customHeight="1">
      <c r="E661" s="135"/>
      <c r="F661" s="135"/>
    </row>
    <row r="662" spans="5:6" ht="15.75" customHeight="1">
      <c r="E662" s="135"/>
      <c r="F662" s="135"/>
    </row>
    <row r="663" spans="5:6" ht="15.75" customHeight="1">
      <c r="E663" s="135"/>
      <c r="F663" s="135"/>
    </row>
    <row r="664" spans="5:6" ht="15.75" customHeight="1">
      <c r="E664" s="135"/>
      <c r="F664" s="135"/>
    </row>
    <row r="665" spans="5:6" ht="15.75" customHeight="1">
      <c r="E665" s="135"/>
      <c r="F665" s="135"/>
    </row>
    <row r="666" spans="5:6" ht="15.75" customHeight="1">
      <c r="E666" s="135"/>
      <c r="F666" s="135"/>
    </row>
    <row r="667" spans="5:6" ht="15.75" customHeight="1">
      <c r="E667" s="135"/>
      <c r="F667" s="135"/>
    </row>
    <row r="668" spans="5:6" ht="15.75" customHeight="1">
      <c r="E668" s="135"/>
      <c r="F668" s="135"/>
    </row>
    <row r="669" spans="5:6" ht="15.75" customHeight="1">
      <c r="E669" s="135"/>
      <c r="F669" s="135"/>
    </row>
    <row r="670" spans="5:6" ht="15.75" customHeight="1">
      <c r="E670" s="135"/>
      <c r="F670" s="135"/>
    </row>
    <row r="671" spans="5:6" ht="15.75" customHeight="1">
      <c r="E671" s="135"/>
      <c r="F671" s="135"/>
    </row>
    <row r="672" spans="5:6" ht="15.75" customHeight="1">
      <c r="E672" s="135"/>
      <c r="F672" s="135"/>
    </row>
    <row r="673" spans="5:6" ht="15.75" customHeight="1">
      <c r="E673" s="135"/>
      <c r="F673" s="135"/>
    </row>
    <row r="674" spans="5:6" ht="15.75" customHeight="1">
      <c r="E674" s="135"/>
      <c r="F674" s="135"/>
    </row>
    <row r="675" spans="5:6" ht="15.75" customHeight="1">
      <c r="E675" s="135"/>
      <c r="F675" s="135"/>
    </row>
    <row r="676" spans="5:6" ht="15.75" customHeight="1">
      <c r="E676" s="135"/>
      <c r="F676" s="135"/>
    </row>
    <row r="677" spans="5:6" ht="15.75" customHeight="1">
      <c r="E677" s="135"/>
      <c r="F677" s="135"/>
    </row>
    <row r="678" spans="5:6" ht="15.75" customHeight="1">
      <c r="E678" s="135"/>
      <c r="F678" s="135"/>
    </row>
    <row r="679" spans="5:6" ht="15.75" customHeight="1">
      <c r="E679" s="135"/>
      <c r="F679" s="135"/>
    </row>
    <row r="680" spans="5:6" ht="15.75" customHeight="1">
      <c r="E680" s="135"/>
      <c r="F680" s="135"/>
    </row>
    <row r="681" spans="5:6" ht="15.75" customHeight="1">
      <c r="E681" s="135"/>
      <c r="F681" s="135"/>
    </row>
    <row r="682" spans="5:6" ht="15.75" customHeight="1">
      <c r="E682" s="135"/>
      <c r="F682" s="135"/>
    </row>
    <row r="683" spans="5:6" ht="15.75" customHeight="1">
      <c r="E683" s="135"/>
      <c r="F683" s="135"/>
    </row>
    <row r="684" spans="5:6" ht="15.75" customHeight="1">
      <c r="E684" s="135"/>
      <c r="F684" s="135"/>
    </row>
    <row r="685" spans="5:6" ht="15.75" customHeight="1">
      <c r="E685" s="135"/>
      <c r="F685" s="135"/>
    </row>
    <row r="686" spans="5:6" ht="15.75" customHeight="1">
      <c r="E686" s="135"/>
      <c r="F686" s="135"/>
    </row>
    <row r="687" spans="5:6" ht="15.75" customHeight="1">
      <c r="E687" s="135"/>
      <c r="F687" s="135"/>
    </row>
    <row r="688" spans="5:6" ht="15.75" customHeight="1">
      <c r="E688" s="135"/>
      <c r="F688" s="135"/>
    </row>
    <row r="689" spans="5:6" ht="15.75" customHeight="1">
      <c r="E689" s="135"/>
      <c r="F689" s="135"/>
    </row>
    <row r="690" spans="5:6" ht="15.75" customHeight="1">
      <c r="E690" s="135"/>
      <c r="F690" s="135"/>
    </row>
    <row r="691" spans="5:6" ht="15.75" customHeight="1">
      <c r="E691" s="135"/>
      <c r="F691" s="135"/>
    </row>
    <row r="692" spans="5:6" ht="15.75" customHeight="1">
      <c r="E692" s="135"/>
      <c r="F692" s="135"/>
    </row>
    <row r="693" spans="5:6" ht="15.75" customHeight="1">
      <c r="E693" s="135"/>
      <c r="F693" s="135"/>
    </row>
    <row r="694" spans="5:6" ht="15.75" customHeight="1">
      <c r="E694" s="135"/>
      <c r="F694" s="135"/>
    </row>
    <row r="695" spans="5:6" ht="15.75" customHeight="1">
      <c r="E695" s="135"/>
      <c r="F695" s="135"/>
    </row>
    <row r="696" spans="5:6" ht="15.75" customHeight="1">
      <c r="E696" s="135"/>
      <c r="F696" s="135"/>
    </row>
    <row r="697" spans="5:6" ht="15.75" customHeight="1">
      <c r="E697" s="135"/>
      <c r="F697" s="135"/>
    </row>
    <row r="698" spans="5:6" ht="15.75" customHeight="1">
      <c r="E698" s="135"/>
      <c r="F698" s="135"/>
    </row>
    <row r="699" spans="5:6" ht="15.75" customHeight="1">
      <c r="E699" s="135"/>
      <c r="F699" s="135"/>
    </row>
    <row r="700" spans="5:6" ht="15.75" customHeight="1">
      <c r="E700" s="135"/>
      <c r="F700" s="135"/>
    </row>
    <row r="701" spans="5:6" ht="15.75" customHeight="1">
      <c r="E701" s="135"/>
      <c r="F701" s="135"/>
    </row>
    <row r="702" spans="5:6" ht="15.75" customHeight="1">
      <c r="E702" s="135"/>
      <c r="F702" s="135"/>
    </row>
    <row r="703" spans="5:6" ht="15.75" customHeight="1">
      <c r="E703" s="135"/>
      <c r="F703" s="135"/>
    </row>
    <row r="704" spans="5:6" ht="15.75" customHeight="1">
      <c r="E704" s="135"/>
      <c r="F704" s="135"/>
    </row>
    <row r="705" spans="5:6" ht="15.75" customHeight="1">
      <c r="E705" s="135"/>
      <c r="F705" s="135"/>
    </row>
    <row r="706" spans="5:6" ht="15.75" customHeight="1">
      <c r="E706" s="135"/>
      <c r="F706" s="135"/>
    </row>
    <row r="707" spans="5:6" ht="15.75" customHeight="1">
      <c r="E707" s="135"/>
      <c r="F707" s="135"/>
    </row>
    <row r="708" spans="5:6" ht="15.75" customHeight="1">
      <c r="E708" s="135"/>
      <c r="F708" s="135"/>
    </row>
    <row r="709" spans="5:6" ht="15.75" customHeight="1">
      <c r="E709" s="135"/>
      <c r="F709" s="135"/>
    </row>
    <row r="710" spans="5:6" ht="15.75" customHeight="1">
      <c r="E710" s="135"/>
      <c r="F710" s="135"/>
    </row>
    <row r="711" spans="5:6" ht="15.75" customHeight="1">
      <c r="E711" s="135"/>
      <c r="F711" s="135"/>
    </row>
    <row r="712" spans="5:6" ht="15.75" customHeight="1">
      <c r="E712" s="135"/>
      <c r="F712" s="135"/>
    </row>
    <row r="713" spans="5:6" ht="15.75" customHeight="1">
      <c r="E713" s="135"/>
      <c r="F713" s="135"/>
    </row>
    <row r="714" spans="5:6" ht="15.75" customHeight="1">
      <c r="E714" s="135"/>
      <c r="F714" s="135"/>
    </row>
    <row r="715" spans="5:6" ht="15.75" customHeight="1">
      <c r="E715" s="135"/>
      <c r="F715" s="135"/>
    </row>
    <row r="716" spans="5:6" ht="15.75" customHeight="1">
      <c r="E716" s="135"/>
      <c r="F716" s="135"/>
    </row>
    <row r="717" spans="5:6" ht="15.75" customHeight="1">
      <c r="E717" s="135"/>
      <c r="F717" s="135"/>
    </row>
    <row r="718" spans="5:6" ht="15.75" customHeight="1">
      <c r="E718" s="135"/>
      <c r="F718" s="135"/>
    </row>
    <row r="719" spans="5:6" ht="15.75" customHeight="1">
      <c r="E719" s="135"/>
      <c r="F719" s="135"/>
    </row>
    <row r="720" spans="5:6" ht="15.75" customHeight="1">
      <c r="E720" s="135"/>
      <c r="F720" s="135"/>
    </row>
    <row r="721" spans="5:6" ht="15.75" customHeight="1">
      <c r="E721" s="135"/>
      <c r="F721" s="135"/>
    </row>
    <row r="722" spans="5:6" ht="15.75" customHeight="1">
      <c r="E722" s="135"/>
      <c r="F722" s="135"/>
    </row>
    <row r="723" spans="5:6" ht="15.75" customHeight="1">
      <c r="E723" s="135"/>
      <c r="F723" s="135"/>
    </row>
    <row r="724" spans="5:6" ht="15.75" customHeight="1">
      <c r="E724" s="135"/>
      <c r="F724" s="135"/>
    </row>
    <row r="725" spans="5:6" ht="15.75" customHeight="1">
      <c r="E725" s="135"/>
      <c r="F725" s="135"/>
    </row>
    <row r="726" spans="5:6" ht="15.75" customHeight="1">
      <c r="E726" s="135"/>
      <c r="F726" s="135"/>
    </row>
    <row r="727" spans="5:6" ht="15.75" customHeight="1">
      <c r="E727" s="135"/>
      <c r="F727" s="135"/>
    </row>
    <row r="728" spans="5:6" ht="15.75" customHeight="1">
      <c r="E728" s="135"/>
      <c r="F728" s="135"/>
    </row>
    <row r="729" spans="5:6" ht="15.75" customHeight="1">
      <c r="E729" s="135"/>
      <c r="F729" s="135"/>
    </row>
    <row r="730" spans="5:6" ht="15.75" customHeight="1">
      <c r="E730" s="135"/>
      <c r="F730" s="135"/>
    </row>
    <row r="731" spans="5:6" ht="15.75" customHeight="1">
      <c r="E731" s="135"/>
      <c r="F731" s="135"/>
    </row>
    <row r="732" spans="5:6" ht="15.75" customHeight="1">
      <c r="E732" s="135"/>
      <c r="F732" s="135"/>
    </row>
    <row r="733" spans="5:6" ht="15.75" customHeight="1">
      <c r="E733" s="135"/>
      <c r="F733" s="135"/>
    </row>
    <row r="734" spans="5:6" ht="15.75" customHeight="1">
      <c r="E734" s="135"/>
      <c r="F734" s="135"/>
    </row>
    <row r="735" spans="5:6" ht="15.75" customHeight="1">
      <c r="E735" s="135"/>
      <c r="F735" s="135"/>
    </row>
    <row r="736" spans="5:6" ht="15.75" customHeight="1">
      <c r="E736" s="135"/>
      <c r="F736" s="135"/>
    </row>
    <row r="737" spans="5:6" ht="15.75" customHeight="1">
      <c r="E737" s="135"/>
      <c r="F737" s="135"/>
    </row>
    <row r="738" spans="5:6" ht="15.75" customHeight="1">
      <c r="E738" s="135"/>
      <c r="F738" s="135"/>
    </row>
    <row r="739" spans="5:6" ht="15.75" customHeight="1">
      <c r="E739" s="135"/>
      <c r="F739" s="135"/>
    </row>
    <row r="740" spans="5:6" ht="15.75" customHeight="1">
      <c r="E740" s="135"/>
      <c r="F740" s="135"/>
    </row>
    <row r="741" spans="5:6" ht="15.75" customHeight="1">
      <c r="E741" s="135"/>
      <c r="F741" s="135"/>
    </row>
    <row r="742" spans="5:6" ht="15.75" customHeight="1">
      <c r="E742" s="135"/>
      <c r="F742" s="135"/>
    </row>
    <row r="743" spans="5:6" ht="15.75" customHeight="1">
      <c r="E743" s="135"/>
      <c r="F743" s="135"/>
    </row>
    <row r="744" spans="5:6" ht="15.75" customHeight="1">
      <c r="E744" s="135"/>
      <c r="F744" s="135"/>
    </row>
    <row r="745" spans="5:6" ht="15.75" customHeight="1">
      <c r="E745" s="135"/>
      <c r="F745" s="135"/>
    </row>
    <row r="746" spans="5:6" ht="15.75" customHeight="1">
      <c r="E746" s="135"/>
      <c r="F746" s="135"/>
    </row>
    <row r="747" spans="5:6" ht="15.75" customHeight="1">
      <c r="E747" s="135"/>
      <c r="F747" s="135"/>
    </row>
    <row r="748" spans="5:6" ht="15.75" customHeight="1">
      <c r="E748" s="135"/>
      <c r="F748" s="135"/>
    </row>
    <row r="749" spans="5:6" ht="15.75" customHeight="1">
      <c r="E749" s="135"/>
      <c r="F749" s="135"/>
    </row>
    <row r="750" spans="5:6" ht="15.75" customHeight="1">
      <c r="E750" s="135"/>
      <c r="F750" s="135"/>
    </row>
    <row r="751" spans="5:6" ht="15.75" customHeight="1">
      <c r="E751" s="135"/>
      <c r="F751" s="135"/>
    </row>
    <row r="752" spans="5:6" ht="15.75" customHeight="1">
      <c r="E752" s="135"/>
      <c r="F752" s="135"/>
    </row>
    <row r="753" spans="5:6" ht="15.75" customHeight="1">
      <c r="E753" s="135"/>
      <c r="F753" s="135"/>
    </row>
    <row r="754" spans="5:6" ht="15.75" customHeight="1">
      <c r="E754" s="135"/>
      <c r="F754" s="135"/>
    </row>
    <row r="755" spans="5:6" ht="15.75" customHeight="1">
      <c r="E755" s="135"/>
      <c r="F755" s="135"/>
    </row>
    <row r="756" spans="5:6" ht="15.75" customHeight="1">
      <c r="E756" s="135"/>
      <c r="F756" s="135"/>
    </row>
    <row r="757" spans="5:6" ht="15.75" customHeight="1">
      <c r="E757" s="135"/>
      <c r="F757" s="135"/>
    </row>
    <row r="758" spans="5:6" ht="15.75" customHeight="1">
      <c r="E758" s="135"/>
      <c r="F758" s="135"/>
    </row>
    <row r="759" spans="5:6" ht="15.75" customHeight="1">
      <c r="E759" s="135"/>
      <c r="F759" s="135"/>
    </row>
    <row r="760" spans="5:6" ht="15.75" customHeight="1">
      <c r="E760" s="135"/>
      <c r="F760" s="135"/>
    </row>
    <row r="761" spans="5:6" ht="15.75" customHeight="1">
      <c r="E761" s="135"/>
      <c r="F761" s="135"/>
    </row>
    <row r="762" spans="5:6" ht="15.75" customHeight="1">
      <c r="E762" s="135"/>
      <c r="F762" s="135"/>
    </row>
    <row r="763" spans="5:6" ht="15.75" customHeight="1">
      <c r="E763" s="135"/>
      <c r="F763" s="135"/>
    </row>
    <row r="764" spans="5:6" ht="15.75" customHeight="1">
      <c r="E764" s="135"/>
      <c r="F764" s="135"/>
    </row>
    <row r="765" spans="5:6" ht="15.75" customHeight="1">
      <c r="E765" s="135"/>
      <c r="F765" s="135"/>
    </row>
    <row r="766" spans="5:6" ht="15.75" customHeight="1">
      <c r="E766" s="135"/>
      <c r="F766" s="135"/>
    </row>
    <row r="767" spans="5:6" ht="15.75" customHeight="1">
      <c r="E767" s="135"/>
      <c r="F767" s="135"/>
    </row>
    <row r="768" spans="5:6" ht="15.75" customHeight="1">
      <c r="E768" s="135"/>
      <c r="F768" s="135"/>
    </row>
    <row r="769" spans="5:6" ht="15.75" customHeight="1">
      <c r="E769" s="135"/>
      <c r="F769" s="135"/>
    </row>
    <row r="770" spans="5:6" ht="15.75" customHeight="1">
      <c r="E770" s="135"/>
      <c r="F770" s="135"/>
    </row>
    <row r="771" spans="5:6" ht="15.75" customHeight="1">
      <c r="E771" s="135"/>
      <c r="F771" s="135"/>
    </row>
    <row r="772" spans="5:6" ht="15.75" customHeight="1">
      <c r="E772" s="135"/>
      <c r="F772" s="135"/>
    </row>
    <row r="773" spans="5:6" ht="15.75" customHeight="1">
      <c r="E773" s="135"/>
      <c r="F773" s="135"/>
    </row>
    <row r="774" spans="5:6" ht="15.75" customHeight="1">
      <c r="E774" s="135"/>
      <c r="F774" s="135"/>
    </row>
    <row r="775" spans="5:6" ht="15.75" customHeight="1">
      <c r="E775" s="135"/>
      <c r="F775" s="135"/>
    </row>
    <row r="776" spans="5:6" ht="15.75" customHeight="1">
      <c r="E776" s="135"/>
      <c r="F776" s="135"/>
    </row>
    <row r="777" spans="5:6" ht="15.75" customHeight="1">
      <c r="E777" s="135"/>
      <c r="F777" s="135"/>
    </row>
    <row r="778" spans="5:6" ht="15.75" customHeight="1">
      <c r="E778" s="135"/>
      <c r="F778" s="135"/>
    </row>
    <row r="779" spans="5:6" ht="15.75" customHeight="1">
      <c r="E779" s="135"/>
      <c r="F779" s="135"/>
    </row>
    <row r="780" spans="5:6" ht="15.75" customHeight="1">
      <c r="E780" s="135"/>
      <c r="F780" s="135"/>
    </row>
    <row r="781" spans="5:6" ht="15.75" customHeight="1">
      <c r="E781" s="135"/>
      <c r="F781" s="135"/>
    </row>
    <row r="782" spans="5:6" ht="15.75" customHeight="1">
      <c r="E782" s="135"/>
      <c r="F782" s="135"/>
    </row>
    <row r="783" spans="5:6" ht="15.75" customHeight="1">
      <c r="E783" s="135"/>
      <c r="F783" s="135"/>
    </row>
    <row r="784" spans="5:6" ht="15.75" customHeight="1">
      <c r="E784" s="135"/>
      <c r="F784" s="135"/>
    </row>
    <row r="785" spans="5:6" ht="15.75" customHeight="1">
      <c r="E785" s="135"/>
      <c r="F785" s="135"/>
    </row>
    <row r="786" spans="5:6" ht="15.75" customHeight="1">
      <c r="E786" s="135"/>
      <c r="F786" s="135"/>
    </row>
    <row r="787" spans="5:6" ht="15.75" customHeight="1">
      <c r="E787" s="135"/>
      <c r="F787" s="135"/>
    </row>
    <row r="788" spans="5:6" ht="15.75" customHeight="1">
      <c r="E788" s="135"/>
      <c r="F788" s="135"/>
    </row>
    <row r="789" spans="5:6" ht="15.75" customHeight="1">
      <c r="E789" s="135"/>
      <c r="F789" s="135"/>
    </row>
    <row r="790" spans="5:6" ht="15.75" customHeight="1">
      <c r="E790" s="135"/>
      <c r="F790" s="135"/>
    </row>
    <row r="791" spans="5:6" ht="15.75" customHeight="1">
      <c r="E791" s="135"/>
      <c r="F791" s="135"/>
    </row>
    <row r="792" spans="5:6" ht="15.75" customHeight="1">
      <c r="E792" s="135"/>
      <c r="F792" s="135"/>
    </row>
    <row r="793" spans="5:6" ht="15.75" customHeight="1">
      <c r="E793" s="135"/>
      <c r="F793" s="135"/>
    </row>
    <row r="794" spans="5:6" ht="15.75" customHeight="1">
      <c r="E794" s="135"/>
      <c r="F794" s="135"/>
    </row>
    <row r="795" spans="5:6" ht="15.75" customHeight="1">
      <c r="E795" s="135"/>
      <c r="F795" s="135"/>
    </row>
    <row r="796" spans="5:6" ht="15.75" customHeight="1">
      <c r="E796" s="135"/>
      <c r="F796" s="135"/>
    </row>
    <row r="797" spans="5:6" ht="15.75" customHeight="1">
      <c r="E797" s="135"/>
      <c r="F797" s="135"/>
    </row>
    <row r="798" spans="5:6" ht="15.75" customHeight="1">
      <c r="E798" s="135"/>
      <c r="F798" s="135"/>
    </row>
    <row r="799" spans="5:6" ht="15.75" customHeight="1">
      <c r="E799" s="135"/>
      <c r="F799" s="135"/>
    </row>
    <row r="800" spans="5:6" ht="15.75" customHeight="1">
      <c r="E800" s="135"/>
      <c r="F800" s="135"/>
    </row>
    <row r="801" spans="5:6" ht="15.75" customHeight="1">
      <c r="E801" s="135"/>
      <c r="F801" s="135"/>
    </row>
    <row r="802" spans="5:6" ht="15.75" customHeight="1">
      <c r="E802" s="135"/>
      <c r="F802" s="135"/>
    </row>
    <row r="803" spans="5:6" ht="15.75" customHeight="1">
      <c r="E803" s="135"/>
      <c r="F803" s="135"/>
    </row>
    <row r="804" spans="5:6" ht="15.75" customHeight="1">
      <c r="E804" s="135"/>
      <c r="F804" s="135"/>
    </row>
    <row r="805" spans="5:6" ht="15.75" customHeight="1">
      <c r="E805" s="135"/>
      <c r="F805" s="135"/>
    </row>
    <row r="806" spans="5:6" ht="15.75" customHeight="1">
      <c r="E806" s="135"/>
      <c r="F806" s="135"/>
    </row>
    <row r="807" spans="5:6" ht="15.75" customHeight="1">
      <c r="E807" s="135"/>
      <c r="F807" s="135"/>
    </row>
    <row r="808" spans="5:6" ht="15.75" customHeight="1">
      <c r="E808" s="135"/>
      <c r="F808" s="135"/>
    </row>
    <row r="809" spans="5:6" ht="15.75" customHeight="1">
      <c r="E809" s="135"/>
      <c r="F809" s="135"/>
    </row>
    <row r="810" spans="5:6" ht="15.75" customHeight="1">
      <c r="E810" s="135"/>
      <c r="F810" s="135"/>
    </row>
    <row r="811" spans="5:6" ht="15.75" customHeight="1">
      <c r="E811" s="135"/>
      <c r="F811" s="135"/>
    </row>
    <row r="812" spans="5:6" ht="15.75" customHeight="1">
      <c r="E812" s="135"/>
      <c r="F812" s="135"/>
    </row>
    <row r="813" spans="5:6" ht="15.75" customHeight="1">
      <c r="E813" s="135"/>
      <c r="F813" s="135"/>
    </row>
    <row r="814" spans="5:6" ht="15.75" customHeight="1">
      <c r="E814" s="135"/>
      <c r="F814" s="135"/>
    </row>
    <row r="815" spans="5:6" ht="15.75" customHeight="1">
      <c r="E815" s="135"/>
      <c r="F815" s="135"/>
    </row>
    <row r="816" spans="5:6" ht="15.75" customHeight="1">
      <c r="E816" s="135"/>
      <c r="F816" s="135"/>
    </row>
    <row r="817" spans="5:6" ht="15.75" customHeight="1">
      <c r="E817" s="135"/>
      <c r="F817" s="135"/>
    </row>
    <row r="818" spans="5:6" ht="15.75" customHeight="1">
      <c r="E818" s="135"/>
      <c r="F818" s="135"/>
    </row>
    <row r="819" spans="5:6" ht="15.75" customHeight="1">
      <c r="E819" s="135"/>
      <c r="F819" s="135"/>
    </row>
    <row r="820" spans="5:6" ht="15.75" customHeight="1">
      <c r="E820" s="135"/>
      <c r="F820" s="135"/>
    </row>
    <row r="821" spans="5:6" ht="15.75" customHeight="1">
      <c r="E821" s="135"/>
      <c r="F821" s="135"/>
    </row>
    <row r="822" spans="5:6" ht="15.75" customHeight="1">
      <c r="E822" s="135"/>
      <c r="F822" s="135"/>
    </row>
    <row r="823" spans="5:6" ht="15.75" customHeight="1">
      <c r="E823" s="135"/>
      <c r="F823" s="135"/>
    </row>
    <row r="824" spans="5:6" ht="15.75" customHeight="1">
      <c r="E824" s="135"/>
      <c r="F824" s="135"/>
    </row>
    <row r="825" spans="5:6" ht="15.75" customHeight="1">
      <c r="E825" s="135"/>
      <c r="F825" s="135"/>
    </row>
    <row r="826" spans="5:6" ht="15.75" customHeight="1">
      <c r="E826" s="135"/>
      <c r="F826" s="135"/>
    </row>
    <row r="827" spans="5:6" ht="15.75" customHeight="1">
      <c r="E827" s="135"/>
      <c r="F827" s="135"/>
    </row>
    <row r="828" spans="5:6" ht="15.75" customHeight="1">
      <c r="E828" s="135"/>
      <c r="F828" s="135"/>
    </row>
    <row r="829" spans="5:6" ht="15.75" customHeight="1">
      <c r="E829" s="135"/>
      <c r="F829" s="135"/>
    </row>
    <row r="830" spans="5:6" ht="15.75" customHeight="1">
      <c r="E830" s="135"/>
      <c r="F830" s="135"/>
    </row>
    <row r="831" spans="5:6" ht="15.75" customHeight="1">
      <c r="E831" s="135"/>
      <c r="F831" s="135"/>
    </row>
    <row r="832" spans="5:6" ht="15.75" customHeight="1">
      <c r="E832" s="135"/>
      <c r="F832" s="135"/>
    </row>
    <row r="833" spans="5:6" ht="15.75" customHeight="1">
      <c r="E833" s="135"/>
      <c r="F833" s="135"/>
    </row>
    <row r="834" spans="5:6" ht="15.75" customHeight="1">
      <c r="E834" s="135"/>
      <c r="F834" s="135"/>
    </row>
    <row r="835" spans="5:6" ht="15.75" customHeight="1">
      <c r="E835" s="135"/>
      <c r="F835" s="135"/>
    </row>
    <row r="836" spans="5:6" ht="15.75" customHeight="1">
      <c r="E836" s="135"/>
      <c r="F836" s="135"/>
    </row>
    <row r="837" spans="5:6" ht="15.75" customHeight="1">
      <c r="E837" s="135"/>
      <c r="F837" s="135"/>
    </row>
    <row r="838" spans="5:6" ht="15.75" customHeight="1">
      <c r="E838" s="135"/>
      <c r="F838" s="135"/>
    </row>
    <row r="839" spans="5:6" ht="15.75" customHeight="1">
      <c r="E839" s="135"/>
      <c r="F839" s="135"/>
    </row>
    <row r="840" spans="5:6" ht="15.75" customHeight="1">
      <c r="E840" s="135"/>
      <c r="F840" s="135"/>
    </row>
    <row r="841" spans="5:6" ht="15.75" customHeight="1">
      <c r="E841" s="135"/>
      <c r="F841" s="135"/>
    </row>
    <row r="842" spans="5:6" ht="15.75" customHeight="1">
      <c r="E842" s="135"/>
      <c r="F842" s="135"/>
    </row>
    <row r="843" spans="5:6" ht="15.75" customHeight="1">
      <c r="E843" s="135"/>
      <c r="F843" s="135"/>
    </row>
    <row r="844" spans="5:6" ht="15.75" customHeight="1">
      <c r="E844" s="135"/>
      <c r="F844" s="135"/>
    </row>
    <row r="845" spans="5:6" ht="15.75" customHeight="1">
      <c r="E845" s="135"/>
      <c r="F845" s="135"/>
    </row>
    <row r="846" spans="5:6" ht="15.75" customHeight="1">
      <c r="E846" s="135"/>
      <c r="F846" s="135"/>
    </row>
    <row r="847" spans="5:6" ht="15.75" customHeight="1">
      <c r="E847" s="135"/>
      <c r="F847" s="135"/>
    </row>
    <row r="848" spans="5:6" ht="15.75" customHeight="1">
      <c r="E848" s="135"/>
      <c r="F848" s="135"/>
    </row>
    <row r="849" spans="5:6" ht="15.75" customHeight="1">
      <c r="E849" s="135"/>
      <c r="F849" s="135"/>
    </row>
    <row r="850" spans="5:6" ht="15.75" customHeight="1">
      <c r="E850" s="135"/>
      <c r="F850" s="135"/>
    </row>
    <row r="851" spans="5:6" ht="15.75" customHeight="1">
      <c r="E851" s="135"/>
      <c r="F851" s="135"/>
    </row>
    <row r="852" spans="5:6" ht="15.75" customHeight="1">
      <c r="E852" s="135"/>
      <c r="F852" s="135"/>
    </row>
    <row r="853" spans="5:6" ht="15.75" customHeight="1">
      <c r="E853" s="135"/>
      <c r="F853" s="135"/>
    </row>
    <row r="854" spans="5:6" ht="15.75" customHeight="1">
      <c r="E854" s="135"/>
      <c r="F854" s="135"/>
    </row>
    <row r="855" spans="5:6" ht="15.75" customHeight="1">
      <c r="E855" s="135"/>
      <c r="F855" s="135"/>
    </row>
    <row r="856" spans="5:6" ht="15.75" customHeight="1">
      <c r="E856" s="135"/>
      <c r="F856" s="135"/>
    </row>
    <row r="857" spans="5:6" ht="15.75" customHeight="1">
      <c r="E857" s="135"/>
      <c r="F857" s="135"/>
    </row>
    <row r="858" spans="5:6" ht="15.75" customHeight="1">
      <c r="E858" s="135"/>
      <c r="F858" s="135"/>
    </row>
    <row r="859" spans="5:6" ht="15.75" customHeight="1">
      <c r="E859" s="135"/>
      <c r="F859" s="135"/>
    </row>
    <row r="860" spans="5:6" ht="15.75" customHeight="1">
      <c r="E860" s="135"/>
      <c r="F860" s="135"/>
    </row>
    <row r="861" spans="5:6" ht="15.75" customHeight="1">
      <c r="E861" s="135"/>
      <c r="F861" s="135"/>
    </row>
    <row r="862" spans="5:6" ht="15.75" customHeight="1">
      <c r="E862" s="135"/>
      <c r="F862" s="135"/>
    </row>
    <row r="863" spans="5:6" ht="15.75" customHeight="1">
      <c r="E863" s="135"/>
      <c r="F863" s="135"/>
    </row>
    <row r="864" spans="5:6" ht="15.75" customHeight="1">
      <c r="E864" s="135"/>
      <c r="F864" s="135"/>
    </row>
    <row r="865" spans="5:6" ht="15.75" customHeight="1">
      <c r="E865" s="135"/>
      <c r="F865" s="135"/>
    </row>
    <row r="866" spans="5:6" ht="15.75" customHeight="1">
      <c r="E866" s="135"/>
      <c r="F866" s="135"/>
    </row>
    <row r="867" spans="5:6" ht="15.75" customHeight="1">
      <c r="E867" s="135"/>
      <c r="F867" s="135"/>
    </row>
    <row r="868" spans="5:6" ht="15.75" customHeight="1">
      <c r="E868" s="135"/>
      <c r="F868" s="135"/>
    </row>
    <row r="869" spans="5:6" ht="15.75" customHeight="1">
      <c r="E869" s="135"/>
      <c r="F869" s="135"/>
    </row>
    <row r="870" spans="5:6" ht="15.75" customHeight="1">
      <c r="E870" s="135"/>
      <c r="F870" s="135"/>
    </row>
    <row r="871" spans="5:6" ht="15.75" customHeight="1">
      <c r="E871" s="135"/>
      <c r="F871" s="135"/>
    </row>
    <row r="872" spans="5:6" ht="15.75" customHeight="1">
      <c r="E872" s="135"/>
      <c r="F872" s="135"/>
    </row>
    <row r="873" spans="5:6" ht="15.75" customHeight="1">
      <c r="E873" s="135"/>
      <c r="F873" s="135"/>
    </row>
    <row r="874" spans="5:6" ht="15.75" customHeight="1">
      <c r="E874" s="135"/>
      <c r="F874" s="135"/>
    </row>
    <row r="875" spans="5:6" ht="15.75" customHeight="1">
      <c r="E875" s="135"/>
      <c r="F875" s="135"/>
    </row>
    <row r="876" spans="5:6" ht="15.75" customHeight="1">
      <c r="E876" s="135"/>
      <c r="F876" s="135"/>
    </row>
    <row r="877" spans="5:6" ht="15.75" customHeight="1">
      <c r="E877" s="135"/>
      <c r="F877" s="135"/>
    </row>
    <row r="878" spans="5:6" ht="15.75" customHeight="1">
      <c r="E878" s="135"/>
      <c r="F878" s="135"/>
    </row>
    <row r="879" spans="5:6" ht="15.75" customHeight="1">
      <c r="E879" s="135"/>
      <c r="F879" s="135"/>
    </row>
    <row r="880" spans="5:6" ht="15.75" customHeight="1">
      <c r="E880" s="135"/>
      <c r="F880" s="135"/>
    </row>
    <row r="881" spans="5:6" ht="15.75" customHeight="1">
      <c r="E881" s="135"/>
      <c r="F881" s="135"/>
    </row>
    <row r="882" spans="5:6" ht="15.75" customHeight="1">
      <c r="E882" s="135"/>
      <c r="F882" s="135"/>
    </row>
    <row r="883" spans="5:6" ht="15.75" customHeight="1">
      <c r="E883" s="135"/>
      <c r="F883" s="135"/>
    </row>
    <row r="884" spans="5:6" ht="15.75" customHeight="1">
      <c r="E884" s="135"/>
      <c r="F884" s="135"/>
    </row>
    <row r="885" spans="5:6" ht="15.75" customHeight="1">
      <c r="E885" s="135"/>
      <c r="F885" s="135"/>
    </row>
    <row r="886" spans="5:6" ht="15.75" customHeight="1">
      <c r="E886" s="135"/>
      <c r="F886" s="135"/>
    </row>
    <row r="887" spans="5:6" ht="15.75" customHeight="1">
      <c r="E887" s="135"/>
      <c r="F887" s="135"/>
    </row>
    <row r="888" spans="5:6" ht="15.75" customHeight="1">
      <c r="E888" s="135"/>
      <c r="F888" s="135"/>
    </row>
    <row r="889" spans="5:6" ht="15.75" customHeight="1">
      <c r="E889" s="135"/>
      <c r="F889" s="135"/>
    </row>
    <row r="890" spans="5:6" ht="15.75" customHeight="1">
      <c r="E890" s="135"/>
      <c r="F890" s="135"/>
    </row>
    <row r="891" spans="5:6" ht="15.75" customHeight="1">
      <c r="E891" s="135"/>
      <c r="F891" s="135"/>
    </row>
    <row r="892" spans="5:6" ht="15.75" customHeight="1">
      <c r="E892" s="135"/>
      <c r="F892" s="135"/>
    </row>
    <row r="893" spans="5:6" ht="15.75" customHeight="1">
      <c r="E893" s="135"/>
      <c r="F893" s="135"/>
    </row>
    <row r="894" spans="5:6" ht="15.75" customHeight="1">
      <c r="E894" s="135"/>
      <c r="F894" s="135"/>
    </row>
    <row r="895" spans="5:6" ht="15.75" customHeight="1">
      <c r="E895" s="135"/>
      <c r="F895" s="135"/>
    </row>
    <row r="896" spans="5:6" ht="15.75" customHeight="1">
      <c r="E896" s="135"/>
      <c r="F896" s="135"/>
    </row>
    <row r="897" spans="5:6" ht="15.75" customHeight="1">
      <c r="E897" s="135"/>
      <c r="F897" s="135"/>
    </row>
    <row r="898" spans="5:6" ht="15.75" customHeight="1">
      <c r="E898" s="135"/>
      <c r="F898" s="135"/>
    </row>
    <row r="899" spans="5:6" ht="15.75" customHeight="1">
      <c r="E899" s="135"/>
      <c r="F899" s="135"/>
    </row>
    <row r="900" spans="5:6" ht="15.75" customHeight="1">
      <c r="E900" s="135"/>
      <c r="F900" s="135"/>
    </row>
    <row r="901" spans="5:6" ht="15.75" customHeight="1">
      <c r="E901" s="135"/>
      <c r="F901" s="135"/>
    </row>
    <row r="902" spans="5:6" ht="15.75" customHeight="1">
      <c r="E902" s="135"/>
      <c r="F902" s="135"/>
    </row>
    <row r="903" spans="5:6" ht="15.75" customHeight="1">
      <c r="E903" s="135"/>
      <c r="F903" s="135"/>
    </row>
    <row r="904" spans="5:6" ht="15.75" customHeight="1">
      <c r="E904" s="135"/>
      <c r="F904" s="135"/>
    </row>
    <row r="905" spans="5:6" ht="15.75" customHeight="1">
      <c r="E905" s="135"/>
      <c r="F905" s="135"/>
    </row>
    <row r="906" spans="5:6" ht="15.75" customHeight="1">
      <c r="E906" s="135"/>
      <c r="F906" s="135"/>
    </row>
    <row r="907" spans="5:6" ht="15.75" customHeight="1">
      <c r="E907" s="135"/>
      <c r="F907" s="135"/>
    </row>
    <row r="908" spans="5:6" ht="15.75" customHeight="1">
      <c r="E908" s="135"/>
      <c r="F908" s="135"/>
    </row>
    <row r="909" spans="5:6" ht="15.75" customHeight="1">
      <c r="E909" s="135"/>
      <c r="F909" s="135"/>
    </row>
    <row r="910" spans="5:6" ht="15.75" customHeight="1">
      <c r="E910" s="135"/>
      <c r="F910" s="135"/>
    </row>
    <row r="911" spans="5:6" ht="15.75" customHeight="1">
      <c r="E911" s="135"/>
      <c r="F911" s="135"/>
    </row>
    <row r="912" spans="5:6" ht="15.75" customHeight="1">
      <c r="E912" s="135"/>
      <c r="F912" s="135"/>
    </row>
    <row r="913" spans="5:6" ht="15.75" customHeight="1">
      <c r="E913" s="135"/>
      <c r="F913" s="135"/>
    </row>
    <row r="914" spans="5:6" ht="15.75" customHeight="1">
      <c r="E914" s="135"/>
      <c r="F914" s="135"/>
    </row>
    <row r="915" spans="5:6" ht="15.75" customHeight="1">
      <c r="E915" s="135"/>
      <c r="F915" s="135"/>
    </row>
    <row r="916" spans="5:6" ht="15.75" customHeight="1">
      <c r="E916" s="135"/>
      <c r="F916" s="135"/>
    </row>
    <row r="917" spans="5:6" ht="15.75" customHeight="1">
      <c r="E917" s="135"/>
      <c r="F917" s="135"/>
    </row>
    <row r="918" spans="5:6" ht="15.75" customHeight="1">
      <c r="E918" s="135"/>
      <c r="F918" s="135"/>
    </row>
    <row r="919" spans="5:6" ht="15.75" customHeight="1">
      <c r="E919" s="135"/>
      <c r="F919" s="135"/>
    </row>
    <row r="920" spans="5:6" ht="15.75" customHeight="1">
      <c r="E920" s="135"/>
      <c r="F920" s="135"/>
    </row>
    <row r="921" spans="5:6" ht="15.75" customHeight="1">
      <c r="E921" s="135"/>
      <c r="F921" s="135"/>
    </row>
    <row r="922" spans="5:6" ht="15.75" customHeight="1">
      <c r="E922" s="135"/>
      <c r="F922" s="135"/>
    </row>
    <row r="923" spans="5:6" ht="15.75" customHeight="1">
      <c r="E923" s="135"/>
      <c r="F923" s="135"/>
    </row>
    <row r="924" spans="5:6" ht="15.75" customHeight="1">
      <c r="E924" s="135"/>
      <c r="F924" s="135"/>
    </row>
    <row r="925" spans="5:6" ht="15.75" customHeight="1">
      <c r="E925" s="135"/>
      <c r="F925" s="135"/>
    </row>
    <row r="926" spans="5:6" ht="15.75" customHeight="1">
      <c r="E926" s="135"/>
      <c r="F926" s="135"/>
    </row>
    <row r="927" spans="5:6" ht="15.75" customHeight="1">
      <c r="E927" s="135"/>
      <c r="F927" s="135"/>
    </row>
    <row r="928" spans="5:6" ht="15.75" customHeight="1">
      <c r="E928" s="135"/>
      <c r="F928" s="135"/>
    </row>
    <row r="929" spans="5:6" ht="15.75" customHeight="1">
      <c r="E929" s="135"/>
      <c r="F929" s="135"/>
    </row>
    <row r="930" spans="5:6" ht="15.75" customHeight="1">
      <c r="E930" s="135"/>
      <c r="F930" s="135"/>
    </row>
    <row r="931" spans="5:6" ht="15.75" customHeight="1">
      <c r="E931" s="135"/>
      <c r="F931" s="135"/>
    </row>
    <row r="932" spans="5:6" ht="15.75" customHeight="1">
      <c r="E932" s="135"/>
      <c r="F932" s="135"/>
    </row>
    <row r="933" spans="5:6" ht="15.75" customHeight="1">
      <c r="E933" s="135"/>
      <c r="F933" s="135"/>
    </row>
    <row r="934" spans="5:6" ht="15.75" customHeight="1">
      <c r="E934" s="135"/>
      <c r="F934" s="135"/>
    </row>
    <row r="935" spans="5:6" ht="15.75" customHeight="1">
      <c r="E935" s="135"/>
      <c r="F935" s="135"/>
    </row>
    <row r="936" spans="5:6" ht="15.75" customHeight="1">
      <c r="E936" s="135"/>
      <c r="F936" s="135"/>
    </row>
    <row r="937" spans="5:6" ht="15.75" customHeight="1">
      <c r="E937" s="135"/>
      <c r="F937" s="135"/>
    </row>
    <row r="938" spans="5:6" ht="15.75" customHeight="1">
      <c r="E938" s="135"/>
      <c r="F938" s="135"/>
    </row>
    <row r="939" spans="5:6" ht="15.75" customHeight="1">
      <c r="E939" s="135"/>
      <c r="F939" s="135"/>
    </row>
    <row r="940" spans="5:6" ht="15.75" customHeight="1">
      <c r="E940" s="135"/>
      <c r="F940" s="135"/>
    </row>
    <row r="941" spans="5:6" ht="15.75" customHeight="1">
      <c r="E941" s="135"/>
      <c r="F941" s="135"/>
    </row>
    <row r="942" spans="5:6" ht="15.75" customHeight="1">
      <c r="E942" s="135"/>
      <c r="F942" s="135"/>
    </row>
    <row r="943" spans="5:6" ht="15.75" customHeight="1">
      <c r="E943" s="135"/>
      <c r="F943" s="135"/>
    </row>
    <row r="944" spans="5:6" ht="15.75" customHeight="1">
      <c r="E944" s="135"/>
      <c r="F944" s="135"/>
    </row>
    <row r="945" spans="5:6" ht="15.75" customHeight="1">
      <c r="E945" s="135"/>
      <c r="F945" s="135"/>
    </row>
    <row r="946" spans="5:6" ht="15.75" customHeight="1">
      <c r="E946" s="135"/>
      <c r="F946" s="135"/>
    </row>
    <row r="947" spans="5:6" ht="15.75" customHeight="1">
      <c r="E947" s="135"/>
      <c r="F947" s="135"/>
    </row>
    <row r="948" spans="5:6" ht="15.75" customHeight="1">
      <c r="E948" s="135"/>
      <c r="F948" s="135"/>
    </row>
    <row r="949" spans="5:6" ht="15.75" customHeight="1">
      <c r="E949" s="135"/>
      <c r="F949" s="135"/>
    </row>
    <row r="950" spans="5:6" ht="15.75" customHeight="1">
      <c r="E950" s="135"/>
      <c r="F950" s="135"/>
    </row>
    <row r="951" spans="5:6" ht="15.75" customHeight="1">
      <c r="E951" s="135"/>
      <c r="F951" s="135"/>
    </row>
    <row r="952" spans="5:6" ht="15.75" customHeight="1">
      <c r="E952" s="135"/>
      <c r="F952" s="135"/>
    </row>
    <row r="953" spans="5:6" ht="15.75" customHeight="1">
      <c r="E953" s="135"/>
      <c r="F953" s="135"/>
    </row>
    <row r="954" spans="5:6" ht="15.75" customHeight="1">
      <c r="E954" s="135"/>
      <c r="F954" s="135"/>
    </row>
    <row r="955" spans="5:6" ht="15.75" customHeight="1">
      <c r="E955" s="135"/>
      <c r="F955" s="135"/>
    </row>
    <row r="956" spans="5:6" ht="15.75" customHeight="1">
      <c r="E956" s="135"/>
      <c r="F956" s="135"/>
    </row>
    <row r="957" spans="5:6" ht="15.75" customHeight="1">
      <c r="E957" s="135"/>
      <c r="F957" s="135"/>
    </row>
    <row r="958" spans="5:6" ht="15.75" customHeight="1">
      <c r="E958" s="135"/>
      <c r="F958" s="135"/>
    </row>
    <row r="959" spans="5:6" ht="15.75" customHeight="1">
      <c r="E959" s="135"/>
      <c r="F959" s="135"/>
    </row>
    <row r="960" spans="5:6" ht="15.75" customHeight="1">
      <c r="E960" s="135"/>
      <c r="F960" s="135"/>
    </row>
    <row r="961" spans="5:6" ht="15.75" customHeight="1">
      <c r="E961" s="135"/>
      <c r="F961" s="135"/>
    </row>
    <row r="962" spans="5:6" ht="15.75" customHeight="1">
      <c r="E962" s="135"/>
      <c r="F962" s="135"/>
    </row>
    <row r="963" spans="5:6" ht="15.75" customHeight="1">
      <c r="E963" s="135"/>
      <c r="F963" s="135"/>
    </row>
    <row r="964" spans="5:6" ht="15.75" customHeight="1">
      <c r="E964" s="135"/>
      <c r="F964" s="135"/>
    </row>
    <row r="965" spans="5:6" ht="15.75" customHeight="1">
      <c r="E965" s="135"/>
      <c r="F965" s="135"/>
    </row>
    <row r="966" spans="5:6" ht="15.75" customHeight="1">
      <c r="E966" s="135"/>
      <c r="F966" s="135"/>
    </row>
    <row r="967" spans="5:6" ht="15.75" customHeight="1">
      <c r="E967" s="135"/>
      <c r="F967" s="135"/>
    </row>
    <row r="968" spans="5:6" ht="15.75" customHeight="1">
      <c r="E968" s="135"/>
      <c r="F968" s="135"/>
    </row>
    <row r="969" spans="5:6" ht="15.75" customHeight="1">
      <c r="E969" s="135"/>
      <c r="F969" s="135"/>
    </row>
    <row r="970" spans="5:6" ht="15.75" customHeight="1">
      <c r="E970" s="135"/>
      <c r="F970" s="135"/>
    </row>
    <row r="971" spans="5:6" ht="15.75" customHeight="1">
      <c r="E971" s="135"/>
      <c r="F971" s="135"/>
    </row>
    <row r="972" spans="5:6" ht="15.75" customHeight="1">
      <c r="E972" s="135"/>
      <c r="F972" s="135"/>
    </row>
    <row r="973" spans="5:6" ht="15.75" customHeight="1">
      <c r="E973" s="135"/>
      <c r="F973" s="135"/>
    </row>
    <row r="974" spans="5:6" ht="15.75" customHeight="1">
      <c r="E974" s="135"/>
      <c r="F974" s="135"/>
    </row>
    <row r="975" spans="5:6" ht="15.75" customHeight="1">
      <c r="E975" s="135"/>
      <c r="F975" s="135"/>
    </row>
    <row r="976" spans="5:6" ht="15.75" customHeight="1">
      <c r="E976" s="135"/>
      <c r="F976" s="135"/>
    </row>
    <row r="977" spans="5:6" ht="15.75" customHeight="1">
      <c r="E977" s="135"/>
      <c r="F977" s="135"/>
    </row>
    <row r="978" spans="5:6" ht="15.75" customHeight="1">
      <c r="E978" s="135"/>
      <c r="F978" s="135"/>
    </row>
    <row r="979" spans="5:6" ht="15.75" customHeight="1">
      <c r="E979" s="135"/>
      <c r="F979" s="135"/>
    </row>
    <row r="980" spans="5:6" ht="15.75" customHeight="1">
      <c r="E980" s="135"/>
      <c r="F980" s="135"/>
    </row>
    <row r="981" spans="5:6" ht="15.75" customHeight="1">
      <c r="E981" s="135"/>
      <c r="F981" s="135"/>
    </row>
    <row r="982" spans="5:6" ht="15.75" customHeight="1">
      <c r="E982" s="135"/>
      <c r="F982" s="135"/>
    </row>
    <row r="983" spans="5:6" ht="15.75" customHeight="1">
      <c r="E983" s="135"/>
      <c r="F983" s="135"/>
    </row>
    <row r="984" spans="5:6" ht="15.75" customHeight="1">
      <c r="E984" s="135"/>
      <c r="F984" s="135"/>
    </row>
    <row r="985" spans="5:6" ht="15.75" customHeight="1">
      <c r="E985" s="135"/>
      <c r="F985" s="135"/>
    </row>
    <row r="986" spans="5:6" ht="15.75" customHeight="1">
      <c r="E986" s="135"/>
      <c r="F986" s="135"/>
    </row>
    <row r="987" spans="5:6" ht="15.75" customHeight="1">
      <c r="E987" s="135"/>
      <c r="F987" s="135"/>
    </row>
    <row r="988" spans="5:6" ht="15.75" customHeight="1">
      <c r="E988" s="135"/>
      <c r="F988" s="135"/>
    </row>
    <row r="989" spans="5:6" ht="15.75" customHeight="1">
      <c r="E989" s="135"/>
      <c r="F989" s="135"/>
    </row>
    <row r="990" spans="5:6" ht="15.75" customHeight="1">
      <c r="E990" s="135"/>
      <c r="F990" s="135"/>
    </row>
    <row r="991" spans="5:6" ht="15.75" customHeight="1">
      <c r="E991" s="135"/>
      <c r="F991" s="135"/>
    </row>
    <row r="992" spans="5:6" ht="15.75" customHeight="1">
      <c r="E992" s="135"/>
      <c r="F992" s="135"/>
    </row>
    <row r="993" spans="5:6" ht="15.75" customHeight="1">
      <c r="E993" s="135"/>
      <c r="F993" s="135"/>
    </row>
    <row r="994" spans="5:6" ht="15.75" customHeight="1">
      <c r="E994" s="135"/>
      <c r="F994" s="135"/>
    </row>
    <row r="995" spans="5:6" ht="15.75" customHeight="1">
      <c r="E995" s="135"/>
      <c r="F995" s="135"/>
    </row>
    <row r="996" spans="5:6" ht="15.75" customHeight="1">
      <c r="E996" s="135"/>
      <c r="F996" s="135"/>
    </row>
    <row r="997" spans="5:6" ht="15.75" customHeight="1">
      <c r="E997" s="135"/>
      <c r="F997" s="135"/>
    </row>
    <row r="998" spans="5:6" ht="15.75" customHeight="1">
      <c r="E998" s="135"/>
      <c r="F998" s="135"/>
    </row>
    <row r="999" spans="5:6" ht="15.75" customHeight="1">
      <c r="E999" s="135"/>
      <c r="F999" s="135"/>
    </row>
  </sheetData>
  <mergeCells count="17">
    <mergeCell ref="A1:H1"/>
    <mergeCell ref="B3:H3"/>
    <mergeCell ref="J7:J8"/>
    <mergeCell ref="K7:K8"/>
    <mergeCell ref="J9:J10"/>
    <mergeCell ref="K9:K10"/>
    <mergeCell ref="J5:K6"/>
    <mergeCell ref="E27:H27"/>
    <mergeCell ref="J11:J12"/>
    <mergeCell ref="K11:K12"/>
    <mergeCell ref="J18:J19"/>
    <mergeCell ref="K18:K19"/>
    <mergeCell ref="J20:J21"/>
    <mergeCell ref="K20:K21"/>
    <mergeCell ref="J22:J23"/>
    <mergeCell ref="K22:K23"/>
    <mergeCell ref="J16:K17"/>
  </mergeCells>
  <phoneticPr fontId="11"/>
  <printOptions horizontalCentered="1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4" name="Button 7">
              <controlPr defaultSize="0" print="0" autoFill="0" autoPict="0" macro="[0]!積算_コピーを作成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5" name="Button 8">
              <controlPr defaultSize="0" print="0" autoFill="0" autoPict="0" macro="[0]!積算_コピーを作成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6" name="Button 9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7" name="Button 10">
              <controlPr defaultSize="0" print="0" autoFill="0" autoPict="0" macro="[0]!積算_コピーを作成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8" name="Button 1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9" name="Button 12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4EC3B-1758-46F7-A9F6-EA3871E2A03E}">
  <sheetPr codeName="Sheet7">
    <tabColor rgb="FFFFFF00"/>
  </sheetPr>
  <dimension ref="A1:M999"/>
  <sheetViews>
    <sheetView workbookViewId="0">
      <selection activeCell="B3" sqref="B3:H3"/>
    </sheetView>
  </sheetViews>
  <sheetFormatPr defaultColWidth="12.625" defaultRowHeight="15" customHeight="1"/>
  <cols>
    <col min="1" max="1" width="11.875" style="134" customWidth="1"/>
    <col min="2" max="2" width="32.875" style="132" customWidth="1"/>
    <col min="3" max="3" width="16.375" style="132" customWidth="1"/>
    <col min="4" max="5" width="8.625" style="132" customWidth="1"/>
    <col min="6" max="7" width="18.625" style="132" customWidth="1"/>
    <col min="8" max="8" width="18.125" style="132" customWidth="1"/>
    <col min="9" max="9" width="5.5" style="132" customWidth="1"/>
    <col min="10" max="10" width="14.125" style="132" customWidth="1"/>
    <col min="11" max="11" width="22.125" style="132" customWidth="1"/>
    <col min="12" max="13" width="8" style="132" customWidth="1"/>
    <col min="14" max="28" width="14.375" style="132" customWidth="1"/>
    <col min="29" max="16384" width="12.625" style="132"/>
  </cols>
  <sheetData>
    <row r="1" spans="1:13" ht="37.5" customHeight="1">
      <c r="A1" s="408" t="s">
        <v>99</v>
      </c>
      <c r="B1" s="409"/>
      <c r="C1" s="409"/>
      <c r="D1" s="409"/>
      <c r="E1" s="409"/>
      <c r="F1" s="409"/>
      <c r="G1" s="409"/>
      <c r="H1" s="409"/>
      <c r="I1" s="127"/>
      <c r="J1" s="131"/>
      <c r="K1" s="127"/>
      <c r="L1" s="127"/>
      <c r="M1" s="127"/>
    </row>
    <row r="2" spans="1:13" ht="13.5" customHeight="1">
      <c r="A2" s="126"/>
      <c r="B2" s="127"/>
      <c r="C2" s="127"/>
      <c r="D2" s="127"/>
      <c r="E2" s="126"/>
      <c r="F2" s="126"/>
      <c r="G2" s="127"/>
      <c r="H2" s="127"/>
      <c r="I2" s="127"/>
      <c r="J2" s="127"/>
      <c r="K2" s="127"/>
      <c r="L2" s="127"/>
      <c r="M2" s="127"/>
    </row>
    <row r="3" spans="1:13" ht="37.5" customHeight="1">
      <c r="A3" s="130" t="s">
        <v>0</v>
      </c>
      <c r="B3" s="410"/>
      <c r="C3" s="411"/>
      <c r="D3" s="411"/>
      <c r="E3" s="411"/>
      <c r="F3" s="411"/>
      <c r="G3" s="411"/>
      <c r="H3" s="412"/>
      <c r="I3" s="131"/>
      <c r="J3" s="108" t="s">
        <v>1</v>
      </c>
      <c r="K3" s="107">
        <v>0.42</v>
      </c>
      <c r="L3" s="127"/>
      <c r="M3" s="127"/>
    </row>
    <row r="4" spans="1:13" ht="13.5" customHeight="1">
      <c r="A4" s="126"/>
      <c r="B4" s="126"/>
      <c r="C4" s="126"/>
      <c r="D4" s="126"/>
      <c r="E4" s="126"/>
      <c r="F4" s="126"/>
      <c r="G4" s="126"/>
      <c r="H4" s="126"/>
      <c r="I4" s="133"/>
      <c r="J4" s="127"/>
      <c r="K4" s="127"/>
      <c r="L4" s="127"/>
      <c r="M4" s="127"/>
    </row>
    <row r="5" spans="1:13" ht="21.6" customHeight="1">
      <c r="A5" s="107"/>
      <c r="B5" s="108" t="s">
        <v>2</v>
      </c>
      <c r="C5" s="108" t="s">
        <v>3</v>
      </c>
      <c r="D5" s="108" t="s">
        <v>4</v>
      </c>
      <c r="E5" s="108" t="s">
        <v>5</v>
      </c>
      <c r="F5" s="108" t="s">
        <v>121</v>
      </c>
      <c r="G5" s="108" t="s">
        <v>6</v>
      </c>
      <c r="H5" s="108" t="s">
        <v>98</v>
      </c>
      <c r="I5" s="127"/>
      <c r="J5" s="414" t="s">
        <v>122</v>
      </c>
      <c r="K5" s="414"/>
      <c r="L5" s="127"/>
      <c r="M5" s="127"/>
    </row>
    <row r="6" spans="1:13" ht="21.6" customHeight="1">
      <c r="A6" s="109" t="s">
        <v>8</v>
      </c>
      <c r="B6" s="110"/>
      <c r="C6" s="111"/>
      <c r="D6" s="112"/>
      <c r="E6" s="113"/>
      <c r="F6" s="244">
        <f>C6*D6</f>
        <v>0</v>
      </c>
      <c r="G6" s="245">
        <f>(C6*D6*K3)</f>
        <v>0</v>
      </c>
      <c r="H6" s="245">
        <f t="shared" ref="H6:H15" si="0">(G6/0.7)</f>
        <v>0</v>
      </c>
      <c r="I6" s="127"/>
      <c r="J6" s="407"/>
      <c r="K6" s="407"/>
      <c r="L6" s="127"/>
      <c r="M6" s="127"/>
    </row>
    <row r="7" spans="1:13" ht="21.6" customHeight="1">
      <c r="A7" s="109" t="s">
        <v>11</v>
      </c>
      <c r="B7" s="110"/>
      <c r="C7" s="114"/>
      <c r="D7" s="112"/>
      <c r="E7" s="113"/>
      <c r="F7" s="244">
        <f t="shared" ref="F7:F15" si="1">C7*D7</f>
        <v>0</v>
      </c>
      <c r="G7" s="245">
        <f>(C7*D7*K3)</f>
        <v>0</v>
      </c>
      <c r="H7" s="245">
        <f t="shared" si="0"/>
        <v>0</v>
      </c>
      <c r="I7" s="127"/>
      <c r="J7" s="400"/>
      <c r="K7" s="402">
        <f>(H16)</f>
        <v>0</v>
      </c>
      <c r="L7" s="127"/>
      <c r="M7" s="127"/>
    </row>
    <row r="8" spans="1:13" ht="21.6" customHeight="1">
      <c r="A8" s="109" t="s">
        <v>61</v>
      </c>
      <c r="B8" s="110"/>
      <c r="C8" s="114"/>
      <c r="D8" s="112"/>
      <c r="E8" s="113"/>
      <c r="F8" s="244">
        <f t="shared" si="1"/>
        <v>0</v>
      </c>
      <c r="G8" s="245">
        <f>(C8*D8*K3)</f>
        <v>0</v>
      </c>
      <c r="H8" s="245">
        <f t="shared" si="0"/>
        <v>0</v>
      </c>
      <c r="I8" s="127"/>
      <c r="J8" s="401"/>
      <c r="K8" s="401"/>
      <c r="L8" s="127"/>
      <c r="M8" s="127"/>
    </row>
    <row r="9" spans="1:13" ht="21.6" customHeight="1">
      <c r="A9" s="109" t="s">
        <v>14</v>
      </c>
      <c r="B9" s="115"/>
      <c r="C9" s="114"/>
      <c r="D9" s="112"/>
      <c r="E9" s="113"/>
      <c r="F9" s="244">
        <f t="shared" si="1"/>
        <v>0</v>
      </c>
      <c r="G9" s="245">
        <f>(C9*D9*K3)</f>
        <v>0</v>
      </c>
      <c r="H9" s="245">
        <f t="shared" si="0"/>
        <v>0</v>
      </c>
      <c r="I9" s="127"/>
      <c r="J9" s="403" t="s">
        <v>12</v>
      </c>
      <c r="K9" s="413">
        <v>1</v>
      </c>
      <c r="L9" s="127"/>
      <c r="M9" s="127"/>
    </row>
    <row r="10" spans="1:13" ht="21.6" customHeight="1">
      <c r="A10" s="109" t="s">
        <v>18</v>
      </c>
      <c r="B10" s="110"/>
      <c r="C10" s="114"/>
      <c r="D10" s="112"/>
      <c r="E10" s="113"/>
      <c r="F10" s="244">
        <f t="shared" si="1"/>
        <v>0</v>
      </c>
      <c r="G10" s="245">
        <f>(C10*D10*K3)</f>
        <v>0</v>
      </c>
      <c r="H10" s="245">
        <f t="shared" si="0"/>
        <v>0</v>
      </c>
      <c r="I10" s="127"/>
      <c r="J10" s="401"/>
      <c r="K10" s="401"/>
      <c r="L10" s="127"/>
      <c r="M10" s="127"/>
    </row>
    <row r="11" spans="1:13" ht="21.6" customHeight="1">
      <c r="A11" s="109" t="s">
        <v>20</v>
      </c>
      <c r="B11" s="110"/>
      <c r="C11" s="114"/>
      <c r="D11" s="112"/>
      <c r="E11" s="113"/>
      <c r="F11" s="244">
        <f t="shared" si="1"/>
        <v>0</v>
      </c>
      <c r="G11" s="245">
        <f>(C11*D11*K3)</f>
        <v>0</v>
      </c>
      <c r="H11" s="245">
        <f t="shared" si="0"/>
        <v>0</v>
      </c>
      <c r="I11" s="127"/>
      <c r="J11" s="400" t="s">
        <v>17</v>
      </c>
      <c r="K11" s="402">
        <f>(K7/K9)</f>
        <v>0</v>
      </c>
      <c r="L11" s="127"/>
      <c r="M11" s="127"/>
    </row>
    <row r="12" spans="1:13" ht="21.6" customHeight="1">
      <c r="A12" s="109" t="s">
        <v>21</v>
      </c>
      <c r="B12" s="110"/>
      <c r="C12" s="114"/>
      <c r="D12" s="112"/>
      <c r="E12" s="113"/>
      <c r="F12" s="244">
        <f t="shared" si="1"/>
        <v>0</v>
      </c>
      <c r="G12" s="245">
        <f>(C12*D12*K3)</f>
        <v>0</v>
      </c>
      <c r="H12" s="245">
        <f t="shared" si="0"/>
        <v>0</v>
      </c>
      <c r="I12" s="127"/>
      <c r="J12" s="401"/>
      <c r="K12" s="401"/>
      <c r="L12" s="127"/>
      <c r="M12" s="127"/>
    </row>
    <row r="13" spans="1:13" ht="21.6" customHeight="1">
      <c r="A13" s="109" t="s">
        <v>22</v>
      </c>
      <c r="B13" s="110"/>
      <c r="C13" s="114"/>
      <c r="D13" s="112"/>
      <c r="E13" s="113"/>
      <c r="F13" s="244">
        <f t="shared" si="1"/>
        <v>0</v>
      </c>
      <c r="G13" s="245">
        <f>(C13*D13*K3)</f>
        <v>0</v>
      </c>
      <c r="H13" s="245">
        <f t="shared" si="0"/>
        <v>0</v>
      </c>
      <c r="I13" s="127"/>
      <c r="J13" s="127"/>
      <c r="K13" s="127"/>
      <c r="L13" s="127"/>
      <c r="M13" s="127"/>
    </row>
    <row r="14" spans="1:13" ht="21.6" customHeight="1">
      <c r="A14" s="109" t="s">
        <v>23</v>
      </c>
      <c r="B14" s="110"/>
      <c r="C14" s="114"/>
      <c r="D14" s="112"/>
      <c r="E14" s="113"/>
      <c r="F14" s="244">
        <f t="shared" si="1"/>
        <v>0</v>
      </c>
      <c r="G14" s="245">
        <f>(C14*D14*K3)</f>
        <v>0</v>
      </c>
      <c r="H14" s="245">
        <f t="shared" si="0"/>
        <v>0</v>
      </c>
      <c r="I14" s="127"/>
      <c r="J14" s="237"/>
      <c r="K14" s="237"/>
      <c r="L14" s="127"/>
      <c r="M14" s="127"/>
    </row>
    <row r="15" spans="1:13" ht="21.6" customHeight="1" thickBot="1">
      <c r="A15" s="109" t="s">
        <v>25</v>
      </c>
      <c r="B15" s="110"/>
      <c r="C15" s="114"/>
      <c r="D15" s="112"/>
      <c r="E15" s="116"/>
      <c r="F15" s="248">
        <f t="shared" si="1"/>
        <v>0</v>
      </c>
      <c r="G15" s="246">
        <f>(C15*D15*K3)</f>
        <v>0</v>
      </c>
      <c r="H15" s="246">
        <f t="shared" si="0"/>
        <v>0</v>
      </c>
      <c r="I15" s="127"/>
      <c r="J15" s="237"/>
      <c r="K15" s="237"/>
      <c r="L15" s="127"/>
      <c r="M15" s="127"/>
    </row>
    <row r="16" spans="1:13" ht="21.6" customHeight="1" thickTop="1">
      <c r="A16" s="117"/>
      <c r="B16" s="118"/>
      <c r="C16" s="118"/>
      <c r="D16" s="118"/>
      <c r="E16" s="119" t="s">
        <v>31</v>
      </c>
      <c r="F16" s="247">
        <f>SUM(F6:F15)</f>
        <v>0</v>
      </c>
      <c r="G16" s="247">
        <f t="shared" ref="G16:H16" si="2">SUM(G6:G15)</f>
        <v>0</v>
      </c>
      <c r="H16" s="247">
        <f t="shared" si="2"/>
        <v>0</v>
      </c>
      <c r="I16" s="127"/>
      <c r="J16" s="406" t="s">
        <v>97</v>
      </c>
      <c r="K16" s="406"/>
      <c r="L16" s="127"/>
      <c r="M16" s="127"/>
    </row>
    <row r="17" spans="1:13" ht="21.6" customHeight="1">
      <c r="A17" s="120"/>
      <c r="B17" s="121"/>
      <c r="C17" s="121"/>
      <c r="D17" s="121"/>
      <c r="E17" s="122"/>
      <c r="F17" s="122"/>
      <c r="G17" s="122"/>
      <c r="H17" s="122"/>
      <c r="I17" s="127"/>
      <c r="J17" s="407"/>
      <c r="K17" s="407"/>
      <c r="L17" s="127"/>
      <c r="M17" s="127"/>
    </row>
    <row r="18" spans="1:13" ht="21.6" customHeight="1">
      <c r="A18" s="107"/>
      <c r="B18" s="123" t="s">
        <v>34</v>
      </c>
      <c r="C18" s="108" t="s">
        <v>35</v>
      </c>
      <c r="D18" s="108" t="s">
        <v>4</v>
      </c>
      <c r="E18" s="108" t="s">
        <v>5</v>
      </c>
      <c r="F18" s="108" t="s">
        <v>121</v>
      </c>
      <c r="G18" s="108" t="s">
        <v>36</v>
      </c>
      <c r="H18" s="108" t="s">
        <v>97</v>
      </c>
      <c r="I18" s="127"/>
      <c r="J18" s="400" t="s">
        <v>7</v>
      </c>
      <c r="K18" s="402">
        <f>H23</f>
        <v>0</v>
      </c>
      <c r="L18" s="127"/>
      <c r="M18" s="127"/>
    </row>
    <row r="19" spans="1:13" ht="21.6" customHeight="1">
      <c r="A19" s="109" t="s">
        <v>37</v>
      </c>
      <c r="B19" s="124"/>
      <c r="C19" s="124"/>
      <c r="D19" s="112"/>
      <c r="E19" s="240"/>
      <c r="F19" s="249">
        <f>C19*D19</f>
        <v>0</v>
      </c>
      <c r="G19" s="249">
        <f t="shared" ref="G19:G22" si="3">(C19*D19)</f>
        <v>0</v>
      </c>
      <c r="H19" s="249">
        <f>(G19/0.7)</f>
        <v>0</v>
      </c>
      <c r="I19" s="127"/>
      <c r="J19" s="401"/>
      <c r="K19" s="401"/>
      <c r="L19" s="127"/>
      <c r="M19" s="127"/>
    </row>
    <row r="20" spans="1:13" ht="21.6" customHeight="1">
      <c r="A20" s="109" t="s">
        <v>42</v>
      </c>
      <c r="B20" s="124"/>
      <c r="C20" s="124"/>
      <c r="D20" s="112"/>
      <c r="E20" s="241"/>
      <c r="F20" s="249">
        <f t="shared" ref="F20:F22" si="4">C20*D20</f>
        <v>0</v>
      </c>
      <c r="G20" s="250">
        <f t="shared" si="3"/>
        <v>0</v>
      </c>
      <c r="H20" s="249">
        <f>(G20/0.7)</f>
        <v>0</v>
      </c>
      <c r="I20" s="126"/>
      <c r="J20" s="403" t="s">
        <v>12</v>
      </c>
      <c r="K20" s="404">
        <f>K9</f>
        <v>1</v>
      </c>
      <c r="L20" s="127"/>
      <c r="M20" s="127"/>
    </row>
    <row r="21" spans="1:13" ht="21.6" customHeight="1">
      <c r="A21" s="109" t="s">
        <v>44</v>
      </c>
      <c r="B21" s="124"/>
      <c r="C21" s="124"/>
      <c r="D21" s="125"/>
      <c r="E21" s="242"/>
      <c r="F21" s="249">
        <f t="shared" si="4"/>
        <v>0</v>
      </c>
      <c r="G21" s="249">
        <f t="shared" si="3"/>
        <v>0</v>
      </c>
      <c r="H21" s="249">
        <f>(G21/0.7)</f>
        <v>0</v>
      </c>
      <c r="I21" s="126"/>
      <c r="J21" s="401"/>
      <c r="K21" s="405"/>
      <c r="L21" s="127"/>
      <c r="M21" s="127"/>
    </row>
    <row r="22" spans="1:13" ht="21.6" customHeight="1" thickBot="1">
      <c r="A22" s="109" t="s">
        <v>45</v>
      </c>
      <c r="B22" s="124"/>
      <c r="C22" s="124"/>
      <c r="D22" s="112"/>
      <c r="E22" s="243"/>
      <c r="F22" s="255">
        <f t="shared" si="4"/>
        <v>0</v>
      </c>
      <c r="G22" s="251">
        <f t="shared" si="3"/>
        <v>0</v>
      </c>
      <c r="H22" s="252">
        <f>(G22/0.7)</f>
        <v>0</v>
      </c>
      <c r="I22" s="126"/>
      <c r="J22" s="400" t="s">
        <v>17</v>
      </c>
      <c r="K22" s="402">
        <f>(K18/K20)</f>
        <v>0</v>
      </c>
      <c r="L22" s="127"/>
      <c r="M22" s="127"/>
    </row>
    <row r="23" spans="1:13" ht="20.25" customHeight="1" thickTop="1">
      <c r="A23" s="126"/>
      <c r="B23" s="127"/>
      <c r="C23" s="118"/>
      <c r="D23" s="128"/>
      <c r="E23" s="129" t="s">
        <v>31</v>
      </c>
      <c r="F23" s="253">
        <f>SUM(F19:F22)</f>
        <v>0</v>
      </c>
      <c r="G23" s="253">
        <f t="shared" ref="G23:H23" si="5">SUM(G19:G22)</f>
        <v>0</v>
      </c>
      <c r="H23" s="254">
        <f t="shared" si="5"/>
        <v>0</v>
      </c>
      <c r="I23" s="127"/>
      <c r="J23" s="401"/>
      <c r="K23" s="401"/>
      <c r="L23" s="127"/>
      <c r="M23" s="127"/>
    </row>
    <row r="24" spans="1:13" ht="18" customHeight="1">
      <c r="A24" s="126"/>
      <c r="B24" s="127"/>
      <c r="C24" s="127"/>
      <c r="D24" s="127"/>
      <c r="E24" s="126"/>
      <c r="F24" s="126"/>
      <c r="G24" s="127"/>
      <c r="H24" s="127"/>
      <c r="I24" s="127"/>
      <c r="J24" s="127"/>
      <c r="K24" s="127"/>
      <c r="L24" s="127"/>
      <c r="M24" s="127"/>
    </row>
    <row r="25" spans="1:13" ht="31.15" customHeight="1">
      <c r="A25" s="126"/>
      <c r="B25" s="127"/>
      <c r="C25" s="239"/>
      <c r="D25" s="239"/>
      <c r="E25" s="238"/>
      <c r="F25" s="238"/>
      <c r="G25" s="238"/>
      <c r="H25" s="238"/>
      <c r="I25" s="127"/>
      <c r="J25" s="127"/>
      <c r="K25" s="127"/>
      <c r="L25" s="127"/>
      <c r="M25" s="127"/>
    </row>
    <row r="26" spans="1:13" ht="31.15" customHeight="1">
      <c r="A26" s="126"/>
      <c r="B26" s="127"/>
      <c r="C26" s="239"/>
      <c r="D26" s="239"/>
      <c r="E26" s="238"/>
      <c r="F26" s="238"/>
      <c r="G26" s="238"/>
      <c r="H26" s="238"/>
      <c r="I26" s="127"/>
      <c r="J26" s="127"/>
      <c r="K26" s="127"/>
      <c r="L26" s="127"/>
      <c r="M26" s="127"/>
    </row>
    <row r="27" spans="1:13" ht="15.75" customHeight="1">
      <c r="A27" s="126"/>
      <c r="B27" s="127"/>
      <c r="C27" s="127"/>
      <c r="D27" s="127"/>
      <c r="E27" s="399"/>
      <c r="F27" s="399"/>
      <c r="G27" s="399"/>
      <c r="H27" s="399"/>
      <c r="I27" s="127"/>
      <c r="J27" s="127"/>
      <c r="K27" s="127"/>
      <c r="L27" s="127"/>
      <c r="M27" s="127"/>
    </row>
    <row r="28" spans="1:13" ht="13.5" customHeight="1">
      <c r="A28" s="126"/>
      <c r="B28" s="127"/>
      <c r="C28" s="127"/>
      <c r="D28" s="127"/>
      <c r="E28" s="126"/>
      <c r="F28" s="126"/>
      <c r="G28" s="127"/>
      <c r="H28" s="127"/>
      <c r="I28" s="127"/>
      <c r="J28" s="127"/>
      <c r="K28" s="127"/>
      <c r="L28" s="127"/>
      <c r="M28" s="127"/>
    </row>
    <row r="29" spans="1:13" ht="15.75" customHeight="1">
      <c r="A29" s="126"/>
      <c r="B29" s="127"/>
      <c r="C29" s="127"/>
      <c r="D29" s="127"/>
      <c r="E29" s="126"/>
      <c r="F29" s="126"/>
      <c r="G29" s="127"/>
      <c r="H29" s="127"/>
      <c r="I29" s="127"/>
      <c r="J29" s="127"/>
      <c r="K29" s="127"/>
      <c r="L29" s="127"/>
      <c r="M29" s="127"/>
    </row>
    <row r="30" spans="1:13" ht="13.5" customHeight="1">
      <c r="A30" s="126"/>
      <c r="B30" s="127"/>
      <c r="C30" s="127"/>
      <c r="D30" s="127"/>
      <c r="E30" s="126"/>
      <c r="F30" s="126"/>
      <c r="G30" s="127"/>
      <c r="H30" s="127"/>
      <c r="I30" s="127"/>
      <c r="J30" s="127"/>
      <c r="K30" s="127"/>
      <c r="L30" s="127"/>
      <c r="M30" s="127"/>
    </row>
    <row r="31" spans="1:13" ht="13.5" customHeight="1">
      <c r="A31" s="126"/>
      <c r="B31" s="127"/>
      <c r="C31" s="127"/>
      <c r="D31" s="127"/>
      <c r="E31" s="126"/>
      <c r="F31" s="126"/>
      <c r="G31" s="127"/>
      <c r="H31" s="127"/>
      <c r="I31" s="127"/>
      <c r="J31" s="127"/>
      <c r="K31" s="127"/>
      <c r="L31" s="127"/>
      <c r="M31" s="127"/>
    </row>
    <row r="32" spans="1:13" ht="13.5" customHeight="1">
      <c r="A32" s="126"/>
      <c r="B32" s="127"/>
      <c r="C32" s="127"/>
      <c r="D32" s="127"/>
      <c r="E32" s="126"/>
      <c r="F32" s="126"/>
      <c r="G32" s="127"/>
      <c r="H32" s="127"/>
      <c r="I32" s="127"/>
      <c r="J32" s="127"/>
      <c r="K32" s="127"/>
      <c r="L32" s="127"/>
      <c r="M32" s="127"/>
    </row>
    <row r="33" spans="1:13" ht="13.5" customHeight="1">
      <c r="A33" s="126"/>
      <c r="B33" s="127"/>
      <c r="C33" s="127"/>
      <c r="D33" s="127"/>
      <c r="E33" s="126"/>
      <c r="F33" s="126"/>
      <c r="G33" s="127"/>
      <c r="H33" s="127"/>
      <c r="I33" s="127"/>
      <c r="J33" s="127"/>
      <c r="K33" s="127"/>
      <c r="L33" s="127"/>
      <c r="M33" s="127"/>
    </row>
    <row r="34" spans="1:13" ht="13.5" customHeight="1">
      <c r="A34" s="126"/>
      <c r="B34" s="127"/>
      <c r="C34" s="127"/>
      <c r="D34" s="127"/>
      <c r="E34" s="126"/>
      <c r="F34" s="126"/>
      <c r="G34" s="127"/>
      <c r="H34" s="127"/>
      <c r="I34" s="127"/>
      <c r="J34" s="127"/>
      <c r="K34" s="127"/>
      <c r="L34" s="127"/>
      <c r="M34" s="127"/>
    </row>
    <row r="35" spans="1:13" ht="13.5" customHeight="1">
      <c r="A35" s="126"/>
      <c r="B35" s="127"/>
      <c r="C35" s="127"/>
      <c r="D35" s="127"/>
      <c r="E35" s="126"/>
      <c r="F35" s="126"/>
      <c r="G35" s="127"/>
      <c r="H35" s="127"/>
      <c r="I35" s="127"/>
      <c r="J35" s="127"/>
      <c r="K35" s="127"/>
      <c r="L35" s="127"/>
      <c r="M35" s="127"/>
    </row>
    <row r="36" spans="1:13" ht="13.5" customHeight="1">
      <c r="A36" s="126"/>
      <c r="B36" s="127"/>
      <c r="C36" s="127"/>
      <c r="D36" s="127"/>
      <c r="E36" s="126"/>
      <c r="F36" s="126"/>
      <c r="G36" s="127"/>
      <c r="H36" s="127"/>
      <c r="I36" s="127"/>
      <c r="J36" s="127"/>
      <c r="K36" s="127"/>
      <c r="L36" s="127"/>
      <c r="M36" s="127"/>
    </row>
    <row r="37" spans="1:13" ht="13.5" customHeight="1">
      <c r="A37" s="126"/>
      <c r="B37" s="127"/>
      <c r="C37" s="127"/>
      <c r="D37" s="127"/>
      <c r="E37" s="126"/>
      <c r="F37" s="126"/>
      <c r="G37" s="127"/>
      <c r="H37" s="127"/>
      <c r="I37" s="127"/>
      <c r="J37" s="127"/>
      <c r="K37" s="127"/>
      <c r="L37" s="127"/>
      <c r="M37" s="127"/>
    </row>
    <row r="38" spans="1:13" ht="13.5" customHeight="1">
      <c r="A38" s="126"/>
      <c r="B38" s="127"/>
      <c r="C38" s="127"/>
      <c r="D38" s="127"/>
      <c r="E38" s="126"/>
      <c r="F38" s="126"/>
      <c r="G38" s="127"/>
      <c r="H38" s="127"/>
      <c r="I38" s="127"/>
      <c r="J38" s="127"/>
      <c r="K38" s="127"/>
      <c r="L38" s="127"/>
      <c r="M38" s="127"/>
    </row>
    <row r="39" spans="1:13" ht="13.5" customHeight="1">
      <c r="A39" s="126"/>
      <c r="B39" s="127"/>
      <c r="C39" s="127"/>
      <c r="D39" s="127"/>
      <c r="E39" s="126"/>
      <c r="F39" s="126"/>
      <c r="G39" s="127"/>
      <c r="H39" s="127"/>
      <c r="I39" s="127"/>
      <c r="J39" s="127"/>
      <c r="K39" s="127"/>
      <c r="L39" s="127"/>
      <c r="M39" s="127"/>
    </row>
    <row r="40" spans="1:13" ht="13.5" customHeight="1">
      <c r="A40" s="126"/>
      <c r="B40" s="127"/>
      <c r="C40" s="127"/>
      <c r="D40" s="127"/>
      <c r="E40" s="126"/>
      <c r="F40" s="126"/>
      <c r="G40" s="127"/>
      <c r="H40" s="127"/>
      <c r="I40" s="127"/>
      <c r="J40" s="127"/>
      <c r="K40" s="127"/>
      <c r="L40" s="127"/>
      <c r="M40" s="127"/>
    </row>
    <row r="41" spans="1:13" ht="13.5" customHeight="1">
      <c r="A41" s="126"/>
      <c r="B41" s="127"/>
      <c r="C41" s="127"/>
      <c r="D41" s="127"/>
      <c r="E41" s="126"/>
      <c r="F41" s="126"/>
      <c r="G41" s="127"/>
      <c r="H41" s="127"/>
      <c r="I41" s="127"/>
      <c r="J41" s="127"/>
      <c r="K41" s="127"/>
      <c r="L41" s="127"/>
      <c r="M41" s="127"/>
    </row>
    <row r="42" spans="1:13" ht="13.5" customHeight="1">
      <c r="A42" s="126"/>
      <c r="B42" s="127"/>
      <c r="C42" s="127"/>
      <c r="D42" s="127"/>
      <c r="E42" s="126"/>
      <c r="F42" s="126"/>
      <c r="G42" s="127"/>
      <c r="H42" s="127"/>
      <c r="I42" s="127"/>
      <c r="J42" s="127"/>
      <c r="K42" s="127"/>
      <c r="L42" s="127"/>
      <c r="M42" s="127"/>
    </row>
    <row r="43" spans="1:13" ht="13.5" customHeight="1">
      <c r="A43" s="126"/>
      <c r="B43" s="127"/>
      <c r="C43" s="127"/>
      <c r="D43" s="127"/>
      <c r="E43" s="126"/>
      <c r="F43" s="126"/>
      <c r="G43" s="127"/>
      <c r="H43" s="127"/>
      <c r="I43" s="127"/>
      <c r="J43" s="127"/>
      <c r="K43" s="127"/>
      <c r="L43" s="127"/>
      <c r="M43" s="127"/>
    </row>
    <row r="44" spans="1:13" ht="13.5" customHeight="1">
      <c r="A44" s="126"/>
      <c r="B44" s="127"/>
      <c r="C44" s="127"/>
      <c r="D44" s="127"/>
      <c r="E44" s="126"/>
      <c r="F44" s="126"/>
      <c r="G44" s="127"/>
      <c r="H44" s="127"/>
      <c r="I44" s="127"/>
      <c r="J44" s="127"/>
      <c r="K44" s="127"/>
      <c r="L44" s="127"/>
      <c r="M44" s="127"/>
    </row>
    <row r="45" spans="1:13" ht="13.5" customHeight="1">
      <c r="A45" s="126"/>
      <c r="B45" s="127"/>
      <c r="C45" s="127"/>
      <c r="D45" s="127"/>
      <c r="E45" s="126"/>
      <c r="F45" s="126"/>
      <c r="G45" s="127"/>
      <c r="H45" s="127"/>
      <c r="I45" s="127"/>
      <c r="J45" s="127"/>
      <c r="K45" s="127"/>
      <c r="L45" s="127"/>
      <c r="M45" s="127"/>
    </row>
    <row r="46" spans="1:13" ht="13.5" customHeight="1">
      <c r="A46" s="126"/>
      <c r="B46" s="127"/>
      <c r="C46" s="127"/>
      <c r="D46" s="127"/>
      <c r="E46" s="126"/>
      <c r="F46" s="126"/>
      <c r="G46" s="127"/>
      <c r="H46" s="127"/>
      <c r="I46" s="127"/>
      <c r="J46" s="127"/>
      <c r="K46" s="127"/>
      <c r="L46" s="127"/>
      <c r="M46" s="127"/>
    </row>
    <row r="47" spans="1:13" ht="13.5" customHeight="1">
      <c r="A47" s="126"/>
      <c r="B47" s="127"/>
      <c r="C47" s="127"/>
      <c r="D47" s="127"/>
      <c r="E47" s="126"/>
      <c r="F47" s="126"/>
      <c r="G47" s="127"/>
      <c r="H47" s="127"/>
      <c r="I47" s="127"/>
      <c r="J47" s="127"/>
      <c r="K47" s="127"/>
      <c r="L47" s="127"/>
      <c r="M47" s="127"/>
    </row>
    <row r="48" spans="1:13" ht="13.5" customHeight="1">
      <c r="A48" s="126"/>
      <c r="B48" s="127"/>
      <c r="C48" s="127"/>
      <c r="D48" s="127"/>
      <c r="E48" s="126"/>
      <c r="F48" s="126"/>
      <c r="G48" s="127"/>
      <c r="H48" s="127"/>
      <c r="I48" s="127"/>
      <c r="J48" s="127"/>
      <c r="K48" s="127"/>
      <c r="L48" s="127"/>
      <c r="M48" s="127"/>
    </row>
    <row r="49" spans="1:13" ht="13.5" customHeight="1">
      <c r="A49" s="126"/>
      <c r="B49" s="127"/>
      <c r="C49" s="127"/>
      <c r="D49" s="127"/>
      <c r="E49" s="126"/>
      <c r="F49" s="126"/>
      <c r="G49" s="127"/>
      <c r="H49" s="127"/>
      <c r="I49" s="127"/>
      <c r="J49" s="127"/>
      <c r="K49" s="127"/>
      <c r="L49" s="127"/>
      <c r="M49" s="127"/>
    </row>
    <row r="50" spans="1:13" ht="13.5" customHeight="1">
      <c r="A50" s="126"/>
      <c r="B50" s="127"/>
      <c r="C50" s="127"/>
      <c r="D50" s="127"/>
      <c r="E50" s="126"/>
      <c r="F50" s="126"/>
      <c r="G50" s="127"/>
      <c r="H50" s="127"/>
      <c r="I50" s="127"/>
      <c r="J50" s="127"/>
      <c r="K50" s="127"/>
      <c r="L50" s="127"/>
      <c r="M50" s="127"/>
    </row>
    <row r="51" spans="1:13" ht="13.5" customHeight="1">
      <c r="A51" s="126"/>
      <c r="B51" s="127"/>
      <c r="C51" s="127"/>
      <c r="D51" s="127"/>
      <c r="E51" s="126"/>
      <c r="F51" s="126"/>
      <c r="G51" s="127"/>
      <c r="H51" s="127"/>
      <c r="I51" s="127"/>
      <c r="J51" s="127"/>
      <c r="K51" s="127"/>
      <c r="L51" s="127"/>
      <c r="M51" s="127"/>
    </row>
    <row r="52" spans="1:13" ht="13.5" customHeight="1">
      <c r="A52" s="126"/>
      <c r="B52" s="127"/>
      <c r="C52" s="127"/>
      <c r="D52" s="127"/>
      <c r="E52" s="126"/>
      <c r="F52" s="126"/>
      <c r="G52" s="127"/>
      <c r="H52" s="127"/>
      <c r="I52" s="127"/>
      <c r="J52" s="127"/>
      <c r="K52" s="127"/>
      <c r="L52" s="127"/>
      <c r="M52" s="127"/>
    </row>
    <row r="53" spans="1:13" ht="13.5" customHeight="1">
      <c r="A53" s="126"/>
      <c r="B53" s="127"/>
      <c r="C53" s="127"/>
      <c r="D53" s="127"/>
      <c r="E53" s="126"/>
      <c r="F53" s="126"/>
      <c r="G53" s="127"/>
      <c r="H53" s="127"/>
      <c r="I53" s="127"/>
      <c r="J53" s="127"/>
      <c r="K53" s="127"/>
      <c r="L53" s="127"/>
      <c r="M53" s="127"/>
    </row>
    <row r="54" spans="1:13" ht="13.5" customHeight="1">
      <c r="A54" s="126"/>
      <c r="B54" s="127"/>
      <c r="C54" s="127"/>
      <c r="D54" s="127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1:13" ht="13.5" customHeight="1">
      <c r="A55" s="126"/>
      <c r="B55" s="127"/>
      <c r="C55" s="127"/>
      <c r="D55" s="127"/>
      <c r="E55" s="126"/>
      <c r="F55" s="126"/>
      <c r="G55" s="127"/>
      <c r="H55" s="127"/>
      <c r="I55" s="127"/>
      <c r="J55" s="127"/>
      <c r="K55" s="127"/>
      <c r="L55" s="127"/>
      <c r="M55" s="127"/>
    </row>
    <row r="56" spans="1:13" ht="13.5" customHeight="1">
      <c r="A56" s="126"/>
      <c r="B56" s="127"/>
      <c r="C56" s="127"/>
      <c r="D56" s="127"/>
      <c r="E56" s="126"/>
      <c r="F56" s="126"/>
      <c r="G56" s="127"/>
      <c r="H56" s="127"/>
      <c r="I56" s="127"/>
      <c r="J56" s="127"/>
      <c r="K56" s="127"/>
      <c r="L56" s="127"/>
      <c r="M56" s="127"/>
    </row>
    <row r="57" spans="1:13" ht="13.5" customHeight="1">
      <c r="A57" s="126"/>
      <c r="B57" s="127"/>
      <c r="C57" s="127"/>
      <c r="D57" s="127"/>
      <c r="E57" s="126"/>
      <c r="F57" s="126"/>
      <c r="G57" s="127"/>
      <c r="H57" s="127"/>
      <c r="I57" s="127"/>
      <c r="J57" s="127"/>
      <c r="K57" s="127"/>
      <c r="L57" s="127"/>
      <c r="M57" s="127"/>
    </row>
    <row r="58" spans="1:13" ht="13.5" customHeight="1">
      <c r="A58" s="126"/>
      <c r="B58" s="127"/>
      <c r="C58" s="127"/>
      <c r="D58" s="127"/>
      <c r="E58" s="126"/>
      <c r="F58" s="126"/>
      <c r="G58" s="127"/>
      <c r="H58" s="127"/>
      <c r="I58" s="127"/>
      <c r="J58" s="127"/>
      <c r="K58" s="127"/>
      <c r="L58" s="127"/>
      <c r="M58" s="127"/>
    </row>
    <row r="59" spans="1:13" ht="13.5" customHeight="1">
      <c r="A59" s="126"/>
      <c r="B59" s="127"/>
      <c r="C59" s="127"/>
      <c r="D59" s="127"/>
      <c r="E59" s="126"/>
      <c r="F59" s="126"/>
      <c r="G59" s="127"/>
      <c r="H59" s="127"/>
      <c r="I59" s="127"/>
      <c r="J59" s="127"/>
      <c r="K59" s="127"/>
      <c r="L59" s="127"/>
      <c r="M59" s="127"/>
    </row>
    <row r="60" spans="1:13" ht="13.5" customHeight="1">
      <c r="A60" s="126"/>
      <c r="B60" s="127"/>
      <c r="C60" s="127"/>
      <c r="D60" s="127"/>
      <c r="E60" s="126"/>
      <c r="F60" s="126"/>
      <c r="G60" s="127"/>
      <c r="H60" s="127"/>
      <c r="I60" s="127"/>
      <c r="J60" s="127"/>
      <c r="K60" s="127"/>
      <c r="L60" s="127"/>
      <c r="M60" s="127"/>
    </row>
    <row r="61" spans="1:13" ht="13.5" customHeight="1">
      <c r="A61" s="126"/>
      <c r="B61" s="127"/>
      <c r="C61" s="127"/>
      <c r="D61" s="127"/>
      <c r="E61" s="126"/>
      <c r="F61" s="126"/>
      <c r="G61" s="127"/>
      <c r="H61" s="127"/>
      <c r="I61" s="127"/>
      <c r="J61" s="127"/>
      <c r="K61" s="127"/>
      <c r="L61" s="127"/>
      <c r="M61" s="127"/>
    </row>
    <row r="62" spans="1:13" ht="13.5" customHeight="1">
      <c r="A62" s="126"/>
      <c r="B62" s="127"/>
      <c r="C62" s="127"/>
      <c r="D62" s="127"/>
      <c r="E62" s="126"/>
      <c r="F62" s="126"/>
      <c r="G62" s="127"/>
      <c r="H62" s="127"/>
      <c r="I62" s="127"/>
      <c r="J62" s="127"/>
      <c r="K62" s="127"/>
      <c r="L62" s="127"/>
      <c r="M62" s="127"/>
    </row>
    <row r="63" spans="1:13" ht="13.5" customHeight="1">
      <c r="A63" s="126"/>
      <c r="B63" s="127"/>
      <c r="C63" s="127"/>
      <c r="D63" s="127"/>
      <c r="E63" s="126"/>
      <c r="F63" s="126"/>
      <c r="G63" s="127"/>
      <c r="H63" s="127"/>
      <c r="I63" s="127"/>
      <c r="J63" s="127"/>
      <c r="K63" s="127"/>
      <c r="L63" s="127"/>
      <c r="M63" s="127"/>
    </row>
    <row r="64" spans="1:13" ht="13.5" customHeight="1">
      <c r="A64" s="126"/>
      <c r="B64" s="127"/>
      <c r="C64" s="127"/>
      <c r="D64" s="127"/>
      <c r="E64" s="126"/>
      <c r="F64" s="126"/>
      <c r="G64" s="127"/>
      <c r="H64" s="127"/>
      <c r="I64" s="127"/>
      <c r="J64" s="127"/>
      <c r="K64" s="127"/>
      <c r="L64" s="127"/>
      <c r="M64" s="127"/>
    </row>
    <row r="65" spans="1:13" ht="13.5" customHeight="1">
      <c r="A65" s="126"/>
      <c r="B65" s="127"/>
      <c r="C65" s="127"/>
      <c r="D65" s="127"/>
      <c r="E65" s="126"/>
      <c r="F65" s="126"/>
      <c r="G65" s="127"/>
      <c r="H65" s="127"/>
      <c r="I65" s="127"/>
      <c r="J65" s="127"/>
      <c r="K65" s="127"/>
      <c r="L65" s="127"/>
      <c r="M65" s="127"/>
    </row>
    <row r="66" spans="1:13" ht="13.5" customHeight="1">
      <c r="A66" s="126"/>
      <c r="B66" s="127"/>
      <c r="C66" s="127"/>
      <c r="D66" s="127"/>
      <c r="E66" s="126"/>
      <c r="F66" s="126"/>
      <c r="G66" s="127"/>
      <c r="H66" s="127"/>
      <c r="I66" s="127"/>
      <c r="J66" s="127"/>
      <c r="K66" s="127"/>
      <c r="L66" s="127"/>
      <c r="M66" s="127"/>
    </row>
    <row r="67" spans="1:13" ht="13.5" customHeight="1">
      <c r="A67" s="126"/>
      <c r="B67" s="127"/>
      <c r="C67" s="127"/>
      <c r="D67" s="127"/>
      <c r="E67" s="126"/>
      <c r="F67" s="126"/>
      <c r="G67" s="127"/>
      <c r="H67" s="127"/>
      <c r="I67" s="127"/>
      <c r="J67" s="127"/>
      <c r="K67" s="127"/>
      <c r="L67" s="127"/>
      <c r="M67" s="127"/>
    </row>
    <row r="68" spans="1:13" ht="13.5" customHeight="1">
      <c r="A68" s="126"/>
      <c r="B68" s="127"/>
      <c r="C68" s="127"/>
      <c r="D68" s="127"/>
      <c r="E68" s="126"/>
      <c r="F68" s="126"/>
      <c r="G68" s="127"/>
      <c r="H68" s="127"/>
      <c r="I68" s="127"/>
      <c r="J68" s="127"/>
      <c r="K68" s="127"/>
      <c r="L68" s="127"/>
      <c r="M68" s="127"/>
    </row>
    <row r="69" spans="1:13" ht="13.5" customHeight="1">
      <c r="A69" s="126"/>
      <c r="B69" s="127"/>
      <c r="C69" s="127"/>
      <c r="D69" s="127"/>
      <c r="E69" s="126"/>
      <c r="F69" s="126"/>
      <c r="G69" s="127"/>
      <c r="H69" s="127"/>
      <c r="I69" s="127"/>
      <c r="J69" s="127"/>
      <c r="K69" s="127"/>
      <c r="L69" s="127"/>
      <c r="M69" s="127"/>
    </row>
    <row r="70" spans="1:13" ht="13.5" customHeight="1">
      <c r="A70" s="126"/>
      <c r="B70" s="127"/>
      <c r="C70" s="127"/>
      <c r="D70" s="127"/>
      <c r="E70" s="126"/>
      <c r="F70" s="126"/>
      <c r="G70" s="127"/>
      <c r="H70" s="127"/>
      <c r="I70" s="127"/>
      <c r="J70" s="127"/>
      <c r="K70" s="127"/>
      <c r="L70" s="127"/>
      <c r="M70" s="127"/>
    </row>
    <row r="71" spans="1:13" ht="13.5" customHeight="1">
      <c r="A71" s="126"/>
      <c r="B71" s="127"/>
      <c r="C71" s="127"/>
      <c r="D71" s="127"/>
      <c r="E71" s="126"/>
      <c r="F71" s="126"/>
      <c r="G71" s="127"/>
      <c r="H71" s="127"/>
      <c r="I71" s="127"/>
      <c r="J71" s="127"/>
      <c r="K71" s="127"/>
      <c r="L71" s="127"/>
      <c r="M71" s="127"/>
    </row>
    <row r="72" spans="1:13" ht="13.5" customHeight="1">
      <c r="A72" s="126"/>
      <c r="B72" s="127"/>
      <c r="C72" s="127"/>
      <c r="D72" s="127"/>
      <c r="E72" s="126"/>
      <c r="F72" s="126"/>
      <c r="G72" s="127"/>
      <c r="H72" s="127"/>
      <c r="I72" s="127"/>
      <c r="J72" s="127"/>
      <c r="K72" s="127"/>
      <c r="L72" s="127"/>
      <c r="M72" s="127"/>
    </row>
    <row r="73" spans="1:13" ht="13.5" customHeight="1">
      <c r="A73" s="126"/>
      <c r="B73" s="127"/>
      <c r="C73" s="127"/>
      <c r="D73" s="127"/>
      <c r="E73" s="126"/>
      <c r="F73" s="126"/>
      <c r="G73" s="127"/>
      <c r="H73" s="127"/>
      <c r="I73" s="127"/>
      <c r="J73" s="127"/>
      <c r="K73" s="127"/>
      <c r="L73" s="127"/>
      <c r="M73" s="127"/>
    </row>
    <row r="74" spans="1:13" ht="13.5" customHeight="1">
      <c r="A74" s="126"/>
      <c r="B74" s="127"/>
      <c r="C74" s="127"/>
      <c r="D74" s="127"/>
      <c r="E74" s="126"/>
      <c r="F74" s="126"/>
      <c r="G74" s="127"/>
      <c r="H74" s="127"/>
      <c r="I74" s="127"/>
      <c r="J74" s="127"/>
      <c r="K74" s="127"/>
      <c r="L74" s="127"/>
      <c r="M74" s="127"/>
    </row>
    <row r="75" spans="1:13" ht="13.5" customHeight="1">
      <c r="A75" s="126"/>
      <c r="B75" s="127"/>
      <c r="C75" s="127"/>
      <c r="D75" s="127"/>
      <c r="E75" s="126"/>
      <c r="F75" s="126"/>
      <c r="G75" s="127"/>
      <c r="H75" s="127"/>
      <c r="I75" s="127"/>
      <c r="J75" s="127"/>
      <c r="K75" s="127"/>
      <c r="L75" s="127"/>
      <c r="M75" s="127"/>
    </row>
    <row r="76" spans="1:13" ht="13.5" customHeight="1">
      <c r="A76" s="126"/>
      <c r="B76" s="127"/>
      <c r="C76" s="127"/>
      <c r="D76" s="127"/>
      <c r="E76" s="126"/>
      <c r="F76" s="126"/>
      <c r="G76" s="127"/>
      <c r="H76" s="127"/>
      <c r="I76" s="127"/>
      <c r="J76" s="127"/>
      <c r="K76" s="127"/>
      <c r="L76" s="127"/>
      <c r="M76" s="127"/>
    </row>
    <row r="77" spans="1:13" ht="13.5" customHeight="1">
      <c r="A77" s="126"/>
      <c r="B77" s="127"/>
      <c r="C77" s="127"/>
      <c r="D77" s="127"/>
      <c r="E77" s="126"/>
      <c r="F77" s="126"/>
      <c r="G77" s="127"/>
      <c r="H77" s="127"/>
      <c r="I77" s="127"/>
      <c r="J77" s="127"/>
      <c r="K77" s="127"/>
      <c r="L77" s="127"/>
      <c r="M77" s="127"/>
    </row>
    <row r="78" spans="1:13" ht="13.5" customHeight="1">
      <c r="A78" s="126"/>
      <c r="B78" s="127"/>
      <c r="C78" s="127"/>
      <c r="D78" s="127"/>
      <c r="E78" s="126"/>
      <c r="F78" s="126"/>
      <c r="G78" s="127"/>
      <c r="H78" s="127"/>
      <c r="I78" s="127"/>
      <c r="J78" s="127"/>
      <c r="K78" s="127"/>
      <c r="L78" s="127"/>
      <c r="M78" s="127"/>
    </row>
    <row r="79" spans="1:13" ht="13.5" customHeight="1">
      <c r="A79" s="126"/>
      <c r="B79" s="127"/>
      <c r="C79" s="127"/>
      <c r="D79" s="127"/>
      <c r="E79" s="126"/>
      <c r="F79" s="126"/>
      <c r="G79" s="127"/>
      <c r="H79" s="127"/>
      <c r="I79" s="127"/>
      <c r="J79" s="127"/>
      <c r="K79" s="127"/>
      <c r="L79" s="127"/>
      <c r="M79" s="127"/>
    </row>
    <row r="80" spans="1:13" ht="13.5" customHeight="1">
      <c r="A80" s="126"/>
      <c r="B80" s="127"/>
      <c r="C80" s="127"/>
      <c r="D80" s="127"/>
      <c r="E80" s="126"/>
      <c r="F80" s="126"/>
      <c r="G80" s="127"/>
      <c r="H80" s="127"/>
      <c r="I80" s="127"/>
      <c r="J80" s="127"/>
      <c r="K80" s="127"/>
      <c r="L80" s="127"/>
      <c r="M80" s="127"/>
    </row>
    <row r="81" spans="1:13" ht="13.5" customHeight="1">
      <c r="A81" s="126"/>
      <c r="B81" s="127"/>
      <c r="C81" s="127"/>
      <c r="D81" s="127"/>
      <c r="E81" s="126"/>
      <c r="F81" s="126"/>
      <c r="G81" s="127"/>
      <c r="H81" s="127"/>
      <c r="I81" s="127"/>
      <c r="J81" s="127"/>
      <c r="K81" s="127"/>
      <c r="L81" s="127"/>
      <c r="M81" s="127"/>
    </row>
    <row r="82" spans="1:13" ht="13.5" customHeight="1">
      <c r="A82" s="126"/>
      <c r="B82" s="127"/>
      <c r="C82" s="127"/>
      <c r="D82" s="127"/>
      <c r="E82" s="126"/>
      <c r="F82" s="126"/>
      <c r="G82" s="127"/>
      <c r="H82" s="127"/>
      <c r="I82" s="127"/>
      <c r="J82" s="127"/>
      <c r="K82" s="127"/>
      <c r="L82" s="127"/>
      <c r="M82" s="127"/>
    </row>
    <row r="83" spans="1:13" ht="13.5" customHeight="1">
      <c r="A83" s="126"/>
      <c r="B83" s="127"/>
      <c r="C83" s="127"/>
      <c r="D83" s="127"/>
      <c r="E83" s="126"/>
      <c r="F83" s="126"/>
      <c r="G83" s="127"/>
      <c r="H83" s="127"/>
      <c r="I83" s="127"/>
      <c r="J83" s="127"/>
      <c r="K83" s="127"/>
      <c r="L83" s="127"/>
      <c r="M83" s="127"/>
    </row>
    <row r="84" spans="1:13" ht="13.5" customHeight="1">
      <c r="A84" s="126"/>
      <c r="B84" s="127"/>
      <c r="C84" s="127"/>
      <c r="D84" s="127"/>
      <c r="E84" s="126"/>
      <c r="F84" s="126"/>
      <c r="G84" s="127"/>
      <c r="H84" s="127"/>
      <c r="I84" s="127"/>
      <c r="J84" s="127"/>
      <c r="K84" s="127"/>
      <c r="L84" s="127"/>
      <c r="M84" s="127"/>
    </row>
    <row r="85" spans="1:13" ht="13.5" customHeight="1">
      <c r="A85" s="126"/>
      <c r="B85" s="127"/>
      <c r="C85" s="127"/>
      <c r="D85" s="127"/>
      <c r="E85" s="126"/>
      <c r="F85" s="126"/>
      <c r="G85" s="127"/>
      <c r="H85" s="127"/>
      <c r="I85" s="127"/>
      <c r="J85" s="127"/>
      <c r="K85" s="127"/>
      <c r="L85" s="127"/>
      <c r="M85" s="127"/>
    </row>
    <row r="86" spans="1:13" ht="13.5" customHeight="1">
      <c r="A86" s="126"/>
      <c r="B86" s="127"/>
      <c r="C86" s="127"/>
      <c r="D86" s="127"/>
      <c r="E86" s="126"/>
      <c r="F86" s="126"/>
      <c r="G86" s="127"/>
      <c r="H86" s="127"/>
      <c r="I86" s="127"/>
      <c r="J86" s="127"/>
      <c r="K86" s="127"/>
      <c r="L86" s="127"/>
      <c r="M86" s="127"/>
    </row>
    <row r="87" spans="1:13" ht="13.5" customHeight="1">
      <c r="A87" s="126"/>
      <c r="B87" s="127"/>
      <c r="C87" s="127"/>
      <c r="D87" s="127"/>
      <c r="E87" s="126"/>
      <c r="F87" s="126"/>
      <c r="G87" s="127"/>
      <c r="H87" s="127"/>
      <c r="I87" s="127"/>
      <c r="J87" s="127"/>
      <c r="K87" s="127"/>
      <c r="L87" s="127"/>
      <c r="M87" s="127"/>
    </row>
    <row r="88" spans="1:13" ht="13.5" customHeight="1">
      <c r="A88" s="126"/>
      <c r="B88" s="127"/>
      <c r="C88" s="127"/>
      <c r="D88" s="127"/>
      <c r="E88" s="126"/>
      <c r="F88" s="126"/>
      <c r="G88" s="127"/>
      <c r="H88" s="127"/>
      <c r="I88" s="127"/>
      <c r="J88" s="127"/>
      <c r="K88" s="127"/>
      <c r="L88" s="127"/>
      <c r="M88" s="127"/>
    </row>
    <row r="89" spans="1:13" ht="13.5" customHeight="1">
      <c r="A89" s="126"/>
      <c r="B89" s="127"/>
      <c r="C89" s="127"/>
      <c r="D89" s="127"/>
      <c r="E89" s="126"/>
      <c r="F89" s="126"/>
      <c r="G89" s="127"/>
      <c r="H89" s="127"/>
      <c r="I89" s="127"/>
      <c r="J89" s="127"/>
      <c r="K89" s="127"/>
      <c r="L89" s="127"/>
      <c r="M89" s="127"/>
    </row>
    <row r="90" spans="1:13" ht="13.5" customHeight="1">
      <c r="A90" s="126"/>
      <c r="B90" s="127"/>
      <c r="C90" s="127"/>
      <c r="D90" s="127"/>
      <c r="E90" s="126"/>
      <c r="F90" s="126"/>
      <c r="G90" s="127"/>
      <c r="H90" s="127"/>
      <c r="I90" s="127"/>
      <c r="J90" s="127"/>
      <c r="K90" s="127"/>
      <c r="L90" s="127"/>
      <c r="M90" s="127"/>
    </row>
    <row r="91" spans="1:13" ht="13.5" customHeight="1">
      <c r="A91" s="126"/>
      <c r="B91" s="127"/>
      <c r="C91" s="127"/>
      <c r="D91" s="127"/>
      <c r="E91" s="126"/>
      <c r="F91" s="126"/>
      <c r="G91" s="127"/>
      <c r="H91" s="127"/>
      <c r="I91" s="127"/>
      <c r="J91" s="127"/>
      <c r="K91" s="127"/>
      <c r="L91" s="127"/>
      <c r="M91" s="127"/>
    </row>
    <row r="92" spans="1:13" ht="13.5" customHeight="1">
      <c r="A92" s="126"/>
      <c r="B92" s="127"/>
      <c r="C92" s="127"/>
      <c r="D92" s="127"/>
      <c r="E92" s="126"/>
      <c r="F92" s="126"/>
      <c r="G92" s="127"/>
      <c r="H92" s="127"/>
      <c r="I92" s="127"/>
      <c r="J92" s="127"/>
      <c r="K92" s="127"/>
      <c r="L92" s="127"/>
      <c r="M92" s="127"/>
    </row>
    <row r="93" spans="1:13" ht="13.5" customHeight="1">
      <c r="A93" s="126"/>
      <c r="B93" s="127"/>
      <c r="C93" s="127"/>
      <c r="D93" s="127"/>
      <c r="E93" s="126"/>
      <c r="F93" s="126"/>
      <c r="G93" s="127"/>
      <c r="H93" s="127"/>
      <c r="I93" s="127"/>
      <c r="J93" s="127"/>
      <c r="K93" s="127"/>
      <c r="L93" s="127"/>
      <c r="M93" s="127"/>
    </row>
    <row r="94" spans="1:13" ht="13.5" customHeight="1">
      <c r="A94" s="126"/>
      <c r="B94" s="127"/>
      <c r="C94" s="127"/>
      <c r="D94" s="127"/>
      <c r="E94" s="126"/>
      <c r="F94" s="126"/>
      <c r="G94" s="127"/>
      <c r="H94" s="127"/>
      <c r="I94" s="127"/>
      <c r="J94" s="127"/>
      <c r="K94" s="127"/>
      <c r="L94" s="127"/>
      <c r="M94" s="127"/>
    </row>
    <row r="95" spans="1:13" ht="13.5" customHeight="1">
      <c r="A95" s="126"/>
      <c r="B95" s="127"/>
      <c r="C95" s="127"/>
      <c r="D95" s="127"/>
      <c r="E95" s="126"/>
      <c r="F95" s="126"/>
      <c r="G95" s="127"/>
      <c r="H95" s="127"/>
      <c r="I95" s="127"/>
      <c r="J95" s="127"/>
      <c r="K95" s="127"/>
      <c r="L95" s="127"/>
      <c r="M95" s="127"/>
    </row>
    <row r="96" spans="1:13" ht="13.5" customHeight="1">
      <c r="A96" s="126"/>
      <c r="B96" s="127"/>
      <c r="C96" s="127"/>
      <c r="D96" s="127"/>
      <c r="E96" s="126"/>
      <c r="F96" s="126"/>
      <c r="G96" s="127"/>
      <c r="H96" s="127"/>
      <c r="I96" s="127"/>
      <c r="J96" s="127"/>
      <c r="K96" s="127"/>
      <c r="L96" s="127"/>
      <c r="M96" s="127"/>
    </row>
    <row r="97" spans="1:13" ht="13.5" customHeight="1">
      <c r="A97" s="126"/>
      <c r="B97" s="127"/>
      <c r="C97" s="127"/>
      <c r="D97" s="127"/>
      <c r="E97" s="126"/>
      <c r="F97" s="126"/>
      <c r="G97" s="127"/>
      <c r="H97" s="127"/>
      <c r="I97" s="127"/>
      <c r="J97" s="127"/>
      <c r="K97" s="127"/>
      <c r="L97" s="127"/>
      <c r="M97" s="127"/>
    </row>
    <row r="98" spans="1:13" ht="13.5" customHeight="1">
      <c r="A98" s="126"/>
      <c r="B98" s="127"/>
      <c r="C98" s="127"/>
      <c r="D98" s="127"/>
      <c r="E98" s="126"/>
      <c r="F98" s="126"/>
      <c r="G98" s="127"/>
      <c r="H98" s="127"/>
      <c r="I98" s="127"/>
      <c r="J98" s="127"/>
      <c r="K98" s="127"/>
      <c r="L98" s="127"/>
      <c r="M98" s="127"/>
    </row>
    <row r="99" spans="1:13" ht="13.5" customHeight="1">
      <c r="A99" s="126"/>
      <c r="B99" s="127"/>
      <c r="C99" s="127"/>
      <c r="D99" s="127"/>
      <c r="E99" s="126"/>
      <c r="F99" s="126"/>
      <c r="G99" s="127"/>
      <c r="H99" s="127"/>
      <c r="I99" s="127"/>
      <c r="J99" s="127"/>
      <c r="K99" s="127"/>
      <c r="L99" s="127"/>
      <c r="M99" s="127"/>
    </row>
    <row r="100" spans="1:13" ht="15.75" customHeight="1">
      <c r="E100" s="135"/>
      <c r="F100" s="135"/>
    </row>
    <row r="101" spans="1:13" ht="15.75" customHeight="1">
      <c r="E101" s="135"/>
      <c r="F101" s="135"/>
    </row>
    <row r="102" spans="1:13" ht="15.75" customHeight="1">
      <c r="E102" s="135"/>
      <c r="F102" s="135"/>
    </row>
    <row r="103" spans="1:13" ht="15.75" customHeight="1">
      <c r="E103" s="135"/>
      <c r="F103" s="135"/>
    </row>
    <row r="104" spans="1:13" ht="15.75" customHeight="1">
      <c r="E104" s="135"/>
      <c r="F104" s="135"/>
    </row>
    <row r="105" spans="1:13" ht="15.75" customHeight="1">
      <c r="E105" s="135"/>
      <c r="F105" s="135"/>
    </row>
    <row r="106" spans="1:13" ht="15.75" customHeight="1">
      <c r="E106" s="135"/>
      <c r="F106" s="135"/>
    </row>
    <row r="107" spans="1:13" ht="15.75" customHeight="1">
      <c r="E107" s="135"/>
      <c r="F107" s="135"/>
    </row>
    <row r="108" spans="1:13" ht="15.75" customHeight="1">
      <c r="E108" s="135"/>
      <c r="F108" s="135"/>
    </row>
    <row r="109" spans="1:13" ht="15.75" customHeight="1">
      <c r="E109" s="135"/>
      <c r="F109" s="135"/>
    </row>
    <row r="110" spans="1:13" ht="15.75" customHeight="1">
      <c r="E110" s="135"/>
      <c r="F110" s="135"/>
    </row>
    <row r="111" spans="1:13" ht="15.75" customHeight="1">
      <c r="E111" s="135"/>
      <c r="F111" s="135"/>
    </row>
    <row r="112" spans="1:13" ht="15.75" customHeight="1">
      <c r="E112" s="135"/>
      <c r="F112" s="135"/>
    </row>
    <row r="113" spans="5:6" ht="15.75" customHeight="1">
      <c r="E113" s="135"/>
      <c r="F113" s="135"/>
    </row>
    <row r="114" spans="5:6" ht="15.75" customHeight="1">
      <c r="E114" s="135"/>
      <c r="F114" s="135"/>
    </row>
    <row r="115" spans="5:6" ht="15.75" customHeight="1">
      <c r="E115" s="135"/>
      <c r="F115" s="135"/>
    </row>
    <row r="116" spans="5:6" ht="15.75" customHeight="1">
      <c r="E116" s="135"/>
      <c r="F116" s="135"/>
    </row>
    <row r="117" spans="5:6" ht="15.75" customHeight="1">
      <c r="E117" s="135"/>
      <c r="F117" s="135"/>
    </row>
    <row r="118" spans="5:6" ht="15.75" customHeight="1">
      <c r="E118" s="135"/>
      <c r="F118" s="135"/>
    </row>
    <row r="119" spans="5:6" ht="15.75" customHeight="1">
      <c r="E119" s="135"/>
      <c r="F119" s="135"/>
    </row>
    <row r="120" spans="5:6" ht="15.75" customHeight="1">
      <c r="E120" s="135"/>
      <c r="F120" s="135"/>
    </row>
    <row r="121" spans="5:6" ht="15.75" customHeight="1">
      <c r="E121" s="135"/>
      <c r="F121" s="135"/>
    </row>
    <row r="122" spans="5:6" ht="15.75" customHeight="1">
      <c r="E122" s="135"/>
      <c r="F122" s="135"/>
    </row>
    <row r="123" spans="5:6" ht="15.75" customHeight="1">
      <c r="E123" s="135"/>
      <c r="F123" s="135"/>
    </row>
    <row r="124" spans="5:6" ht="15.75" customHeight="1">
      <c r="E124" s="135"/>
      <c r="F124" s="135"/>
    </row>
    <row r="125" spans="5:6" ht="15.75" customHeight="1">
      <c r="E125" s="135"/>
      <c r="F125" s="135"/>
    </row>
    <row r="126" spans="5:6" ht="15.75" customHeight="1">
      <c r="E126" s="135"/>
      <c r="F126" s="135"/>
    </row>
    <row r="127" spans="5:6" ht="15.75" customHeight="1">
      <c r="E127" s="135"/>
      <c r="F127" s="135"/>
    </row>
    <row r="128" spans="5:6" ht="15.75" customHeight="1">
      <c r="E128" s="135"/>
      <c r="F128" s="135"/>
    </row>
    <row r="129" spans="5:6" ht="15.75" customHeight="1">
      <c r="E129" s="135"/>
      <c r="F129" s="135"/>
    </row>
    <row r="130" spans="5:6" ht="15.75" customHeight="1">
      <c r="E130" s="135"/>
      <c r="F130" s="135"/>
    </row>
    <row r="131" spans="5:6" ht="15.75" customHeight="1">
      <c r="E131" s="135"/>
      <c r="F131" s="135"/>
    </row>
    <row r="132" spans="5:6" ht="15.75" customHeight="1">
      <c r="E132" s="135"/>
      <c r="F132" s="135"/>
    </row>
    <row r="133" spans="5:6" ht="15.75" customHeight="1">
      <c r="E133" s="135"/>
      <c r="F133" s="135"/>
    </row>
    <row r="134" spans="5:6" ht="15.75" customHeight="1">
      <c r="E134" s="135"/>
      <c r="F134" s="135"/>
    </row>
    <row r="135" spans="5:6" ht="15.75" customHeight="1">
      <c r="E135" s="135"/>
      <c r="F135" s="135"/>
    </row>
    <row r="136" spans="5:6" ht="15.75" customHeight="1">
      <c r="E136" s="135"/>
      <c r="F136" s="135"/>
    </row>
    <row r="137" spans="5:6" ht="15.75" customHeight="1">
      <c r="E137" s="135"/>
      <c r="F137" s="135"/>
    </row>
    <row r="138" spans="5:6" ht="15.75" customHeight="1">
      <c r="E138" s="135"/>
      <c r="F138" s="135"/>
    </row>
    <row r="139" spans="5:6" ht="15.75" customHeight="1">
      <c r="E139" s="135"/>
      <c r="F139" s="135"/>
    </row>
    <row r="140" spans="5:6" ht="15.75" customHeight="1">
      <c r="E140" s="135"/>
      <c r="F140" s="135"/>
    </row>
    <row r="141" spans="5:6" ht="15.75" customHeight="1">
      <c r="E141" s="135"/>
      <c r="F141" s="135"/>
    </row>
    <row r="142" spans="5:6" ht="15.75" customHeight="1">
      <c r="E142" s="135"/>
      <c r="F142" s="135"/>
    </row>
    <row r="143" spans="5:6" ht="15.75" customHeight="1">
      <c r="E143" s="135"/>
      <c r="F143" s="135"/>
    </row>
    <row r="144" spans="5:6" ht="15.75" customHeight="1">
      <c r="E144" s="135"/>
      <c r="F144" s="135"/>
    </row>
    <row r="145" spans="5:6" ht="15.75" customHeight="1">
      <c r="E145" s="135"/>
      <c r="F145" s="135"/>
    </row>
    <row r="146" spans="5:6" ht="15.75" customHeight="1">
      <c r="E146" s="135"/>
      <c r="F146" s="135"/>
    </row>
    <row r="147" spans="5:6" ht="15.75" customHeight="1">
      <c r="E147" s="135"/>
      <c r="F147" s="135"/>
    </row>
    <row r="148" spans="5:6" ht="15.75" customHeight="1">
      <c r="E148" s="135"/>
      <c r="F148" s="135"/>
    </row>
    <row r="149" spans="5:6" ht="15.75" customHeight="1">
      <c r="E149" s="135"/>
      <c r="F149" s="135"/>
    </row>
    <row r="150" spans="5:6" ht="15.75" customHeight="1">
      <c r="E150" s="135"/>
      <c r="F150" s="135"/>
    </row>
    <row r="151" spans="5:6" ht="15.75" customHeight="1">
      <c r="E151" s="135"/>
      <c r="F151" s="135"/>
    </row>
    <row r="152" spans="5:6" ht="15.75" customHeight="1">
      <c r="E152" s="135"/>
      <c r="F152" s="135"/>
    </row>
    <row r="153" spans="5:6" ht="15.75" customHeight="1">
      <c r="E153" s="135"/>
      <c r="F153" s="135"/>
    </row>
    <row r="154" spans="5:6" ht="15.75" customHeight="1">
      <c r="E154" s="135"/>
      <c r="F154" s="135"/>
    </row>
    <row r="155" spans="5:6" ht="15.75" customHeight="1">
      <c r="E155" s="135"/>
      <c r="F155" s="135"/>
    </row>
    <row r="156" spans="5:6" ht="15.75" customHeight="1">
      <c r="E156" s="135"/>
      <c r="F156" s="135"/>
    </row>
    <row r="157" spans="5:6" ht="15.75" customHeight="1">
      <c r="E157" s="135"/>
      <c r="F157" s="135"/>
    </row>
    <row r="158" spans="5:6" ht="15.75" customHeight="1">
      <c r="E158" s="135"/>
      <c r="F158" s="135"/>
    </row>
    <row r="159" spans="5:6" ht="15.75" customHeight="1">
      <c r="E159" s="135"/>
      <c r="F159" s="135"/>
    </row>
    <row r="160" spans="5:6" ht="15.75" customHeight="1">
      <c r="E160" s="135"/>
      <c r="F160" s="135"/>
    </row>
    <row r="161" spans="5:6" ht="15.75" customHeight="1">
      <c r="E161" s="135"/>
      <c r="F161" s="135"/>
    </row>
    <row r="162" spans="5:6" ht="15.75" customHeight="1">
      <c r="E162" s="135"/>
      <c r="F162" s="135"/>
    </row>
    <row r="163" spans="5:6" ht="15.75" customHeight="1">
      <c r="E163" s="135"/>
      <c r="F163" s="135"/>
    </row>
    <row r="164" spans="5:6" ht="15.75" customHeight="1">
      <c r="E164" s="135"/>
      <c r="F164" s="135"/>
    </row>
    <row r="165" spans="5:6" ht="15.75" customHeight="1">
      <c r="E165" s="135"/>
      <c r="F165" s="135"/>
    </row>
    <row r="166" spans="5:6" ht="15.75" customHeight="1">
      <c r="E166" s="135"/>
      <c r="F166" s="135"/>
    </row>
    <row r="167" spans="5:6" ht="15.75" customHeight="1">
      <c r="E167" s="135"/>
      <c r="F167" s="135"/>
    </row>
    <row r="168" spans="5:6" ht="15.75" customHeight="1">
      <c r="E168" s="135"/>
      <c r="F168" s="135"/>
    </row>
    <row r="169" spans="5:6" ht="15.75" customHeight="1">
      <c r="E169" s="135"/>
      <c r="F169" s="135"/>
    </row>
    <row r="170" spans="5:6" ht="15.75" customHeight="1">
      <c r="E170" s="135"/>
      <c r="F170" s="135"/>
    </row>
    <row r="171" spans="5:6" ht="15.75" customHeight="1">
      <c r="E171" s="135"/>
      <c r="F171" s="135"/>
    </row>
    <row r="172" spans="5:6" ht="15.75" customHeight="1">
      <c r="E172" s="135"/>
      <c r="F172" s="135"/>
    </row>
    <row r="173" spans="5:6" ht="15.75" customHeight="1">
      <c r="E173" s="135"/>
      <c r="F173" s="135"/>
    </row>
    <row r="174" spans="5:6" ht="15.75" customHeight="1">
      <c r="E174" s="135"/>
      <c r="F174" s="135"/>
    </row>
    <row r="175" spans="5:6" ht="15.75" customHeight="1">
      <c r="E175" s="135"/>
      <c r="F175" s="135"/>
    </row>
    <row r="176" spans="5:6" ht="15.75" customHeight="1">
      <c r="E176" s="135"/>
      <c r="F176" s="135"/>
    </row>
    <row r="177" spans="5:6" ht="15.75" customHeight="1">
      <c r="E177" s="135"/>
      <c r="F177" s="135"/>
    </row>
    <row r="178" spans="5:6" ht="15.75" customHeight="1">
      <c r="E178" s="135"/>
      <c r="F178" s="135"/>
    </row>
    <row r="179" spans="5:6" ht="15.75" customHeight="1">
      <c r="E179" s="135"/>
      <c r="F179" s="135"/>
    </row>
    <row r="180" spans="5:6" ht="15.75" customHeight="1">
      <c r="E180" s="135"/>
      <c r="F180" s="135"/>
    </row>
    <row r="181" spans="5:6" ht="15.75" customHeight="1">
      <c r="E181" s="135"/>
      <c r="F181" s="135"/>
    </row>
    <row r="182" spans="5:6" ht="15.75" customHeight="1">
      <c r="E182" s="135"/>
      <c r="F182" s="135"/>
    </row>
    <row r="183" spans="5:6" ht="15.75" customHeight="1">
      <c r="E183" s="135"/>
      <c r="F183" s="135"/>
    </row>
    <row r="184" spans="5:6" ht="15.75" customHeight="1">
      <c r="E184" s="135"/>
      <c r="F184" s="135"/>
    </row>
    <row r="185" spans="5:6" ht="15.75" customHeight="1">
      <c r="E185" s="135"/>
      <c r="F185" s="135"/>
    </row>
    <row r="186" spans="5:6" ht="15.75" customHeight="1">
      <c r="E186" s="135"/>
      <c r="F186" s="135"/>
    </row>
    <row r="187" spans="5:6" ht="15.75" customHeight="1">
      <c r="E187" s="135"/>
      <c r="F187" s="135"/>
    </row>
    <row r="188" spans="5:6" ht="15.75" customHeight="1">
      <c r="E188" s="135"/>
      <c r="F188" s="135"/>
    </row>
    <row r="189" spans="5:6" ht="15.75" customHeight="1">
      <c r="E189" s="135"/>
      <c r="F189" s="135"/>
    </row>
    <row r="190" spans="5:6" ht="15.75" customHeight="1">
      <c r="E190" s="135"/>
      <c r="F190" s="135"/>
    </row>
    <row r="191" spans="5:6" ht="15.75" customHeight="1">
      <c r="E191" s="135"/>
      <c r="F191" s="135"/>
    </row>
    <row r="192" spans="5:6" ht="15.75" customHeight="1">
      <c r="E192" s="135"/>
      <c r="F192" s="135"/>
    </row>
    <row r="193" spans="5:6" ht="15.75" customHeight="1">
      <c r="E193" s="135"/>
      <c r="F193" s="135"/>
    </row>
    <row r="194" spans="5:6" ht="15.75" customHeight="1">
      <c r="E194" s="135"/>
      <c r="F194" s="135"/>
    </row>
    <row r="195" spans="5:6" ht="15.75" customHeight="1">
      <c r="E195" s="135"/>
      <c r="F195" s="135"/>
    </row>
    <row r="196" spans="5:6" ht="15.75" customHeight="1">
      <c r="E196" s="135"/>
      <c r="F196" s="135"/>
    </row>
    <row r="197" spans="5:6" ht="15.75" customHeight="1">
      <c r="E197" s="135"/>
      <c r="F197" s="135"/>
    </row>
    <row r="198" spans="5:6" ht="15.75" customHeight="1">
      <c r="E198" s="135"/>
      <c r="F198" s="135"/>
    </row>
    <row r="199" spans="5:6" ht="15.75" customHeight="1">
      <c r="E199" s="135"/>
      <c r="F199" s="135"/>
    </row>
    <row r="200" spans="5:6" ht="15.75" customHeight="1">
      <c r="E200" s="135"/>
      <c r="F200" s="135"/>
    </row>
    <row r="201" spans="5:6" ht="15.75" customHeight="1">
      <c r="E201" s="135"/>
      <c r="F201" s="135"/>
    </row>
    <row r="202" spans="5:6" ht="15.75" customHeight="1">
      <c r="E202" s="135"/>
      <c r="F202" s="135"/>
    </row>
    <row r="203" spans="5:6" ht="15.75" customHeight="1">
      <c r="E203" s="135"/>
      <c r="F203" s="135"/>
    </row>
    <row r="204" spans="5:6" ht="15.75" customHeight="1">
      <c r="E204" s="135"/>
      <c r="F204" s="135"/>
    </row>
    <row r="205" spans="5:6" ht="15.75" customHeight="1">
      <c r="E205" s="135"/>
      <c r="F205" s="135"/>
    </row>
    <row r="206" spans="5:6" ht="15.75" customHeight="1">
      <c r="E206" s="135"/>
      <c r="F206" s="135"/>
    </row>
    <row r="207" spans="5:6" ht="15.75" customHeight="1">
      <c r="E207" s="135"/>
      <c r="F207" s="135"/>
    </row>
    <row r="208" spans="5:6" ht="15.75" customHeight="1">
      <c r="E208" s="135"/>
      <c r="F208" s="135"/>
    </row>
    <row r="209" spans="5:6" ht="15.75" customHeight="1">
      <c r="E209" s="135"/>
      <c r="F209" s="135"/>
    </row>
    <row r="210" spans="5:6" ht="15.75" customHeight="1">
      <c r="E210" s="135"/>
      <c r="F210" s="135"/>
    </row>
    <row r="211" spans="5:6" ht="15.75" customHeight="1">
      <c r="E211" s="135"/>
      <c r="F211" s="135"/>
    </row>
    <row r="212" spans="5:6" ht="15.75" customHeight="1">
      <c r="E212" s="135"/>
      <c r="F212" s="135"/>
    </row>
    <row r="213" spans="5:6" ht="15.75" customHeight="1">
      <c r="E213" s="135"/>
      <c r="F213" s="135"/>
    </row>
    <row r="214" spans="5:6" ht="15.75" customHeight="1">
      <c r="E214" s="135"/>
      <c r="F214" s="135"/>
    </row>
    <row r="215" spans="5:6" ht="15.75" customHeight="1">
      <c r="E215" s="135"/>
      <c r="F215" s="135"/>
    </row>
    <row r="216" spans="5:6" ht="15.75" customHeight="1">
      <c r="E216" s="135"/>
      <c r="F216" s="135"/>
    </row>
    <row r="217" spans="5:6" ht="15.75" customHeight="1">
      <c r="E217" s="135"/>
      <c r="F217" s="135"/>
    </row>
    <row r="218" spans="5:6" ht="15.75" customHeight="1">
      <c r="E218" s="135"/>
      <c r="F218" s="135"/>
    </row>
    <row r="219" spans="5:6" ht="15.75" customHeight="1">
      <c r="E219" s="135"/>
      <c r="F219" s="135"/>
    </row>
    <row r="220" spans="5:6" ht="15.75" customHeight="1">
      <c r="E220" s="135"/>
      <c r="F220" s="135"/>
    </row>
    <row r="221" spans="5:6" ht="15.75" customHeight="1">
      <c r="E221" s="135"/>
      <c r="F221" s="135"/>
    </row>
    <row r="222" spans="5:6" ht="15.75" customHeight="1">
      <c r="E222" s="135"/>
      <c r="F222" s="135"/>
    </row>
    <row r="223" spans="5:6" ht="15.75" customHeight="1">
      <c r="E223" s="135"/>
      <c r="F223" s="135"/>
    </row>
    <row r="224" spans="5:6" ht="15.75" customHeight="1">
      <c r="E224" s="135"/>
      <c r="F224" s="135"/>
    </row>
    <row r="225" spans="5:6" ht="15.75" customHeight="1">
      <c r="E225" s="135"/>
      <c r="F225" s="135"/>
    </row>
    <row r="226" spans="5:6" ht="15.75" customHeight="1">
      <c r="E226" s="135"/>
      <c r="F226" s="135"/>
    </row>
    <row r="227" spans="5:6" ht="15.75" customHeight="1">
      <c r="E227" s="135"/>
      <c r="F227" s="135"/>
    </row>
    <row r="228" spans="5:6" ht="15.75" customHeight="1">
      <c r="E228" s="135"/>
      <c r="F228" s="135"/>
    </row>
    <row r="229" spans="5:6" ht="15.75" customHeight="1">
      <c r="E229" s="135"/>
      <c r="F229" s="135"/>
    </row>
    <row r="230" spans="5:6" ht="15.75" customHeight="1">
      <c r="E230" s="135"/>
      <c r="F230" s="135"/>
    </row>
    <row r="231" spans="5:6" ht="15.75" customHeight="1">
      <c r="E231" s="135"/>
      <c r="F231" s="135"/>
    </row>
    <row r="232" spans="5:6" ht="15.75" customHeight="1">
      <c r="E232" s="135"/>
      <c r="F232" s="135"/>
    </row>
    <row r="233" spans="5:6" ht="15.75" customHeight="1">
      <c r="E233" s="135"/>
      <c r="F233" s="135"/>
    </row>
    <row r="234" spans="5:6" ht="15.75" customHeight="1">
      <c r="E234" s="135"/>
      <c r="F234" s="135"/>
    </row>
    <row r="235" spans="5:6" ht="15.75" customHeight="1">
      <c r="E235" s="135"/>
      <c r="F235" s="135"/>
    </row>
    <row r="236" spans="5:6" ht="15.75" customHeight="1">
      <c r="E236" s="135"/>
      <c r="F236" s="135"/>
    </row>
    <row r="237" spans="5:6" ht="15.75" customHeight="1">
      <c r="E237" s="135"/>
      <c r="F237" s="135"/>
    </row>
    <row r="238" spans="5:6" ht="15.75" customHeight="1">
      <c r="E238" s="135"/>
      <c r="F238" s="135"/>
    </row>
    <row r="239" spans="5:6" ht="15.75" customHeight="1">
      <c r="E239" s="135"/>
      <c r="F239" s="135"/>
    </row>
    <row r="240" spans="5:6" ht="15.75" customHeight="1">
      <c r="E240" s="135"/>
      <c r="F240" s="135"/>
    </row>
    <row r="241" spans="5:6" ht="15.75" customHeight="1">
      <c r="E241" s="135"/>
      <c r="F241" s="135"/>
    </row>
    <row r="242" spans="5:6" ht="15.75" customHeight="1">
      <c r="E242" s="135"/>
      <c r="F242" s="135"/>
    </row>
    <row r="243" spans="5:6" ht="15.75" customHeight="1">
      <c r="E243" s="135"/>
      <c r="F243" s="135"/>
    </row>
    <row r="244" spans="5:6" ht="15.75" customHeight="1">
      <c r="E244" s="135"/>
      <c r="F244" s="135"/>
    </row>
    <row r="245" spans="5:6" ht="15.75" customHeight="1">
      <c r="E245" s="135"/>
      <c r="F245" s="135"/>
    </row>
    <row r="246" spans="5:6" ht="15.75" customHeight="1">
      <c r="E246" s="135"/>
      <c r="F246" s="135"/>
    </row>
    <row r="247" spans="5:6" ht="15.75" customHeight="1">
      <c r="E247" s="135"/>
      <c r="F247" s="135"/>
    </row>
    <row r="248" spans="5:6" ht="15.75" customHeight="1">
      <c r="E248" s="135"/>
      <c r="F248" s="135"/>
    </row>
    <row r="249" spans="5:6" ht="15.75" customHeight="1">
      <c r="E249" s="135"/>
      <c r="F249" s="135"/>
    </row>
    <row r="250" spans="5:6" ht="15.75" customHeight="1">
      <c r="E250" s="135"/>
      <c r="F250" s="135"/>
    </row>
    <row r="251" spans="5:6" ht="15.75" customHeight="1">
      <c r="E251" s="135"/>
      <c r="F251" s="135"/>
    </row>
    <row r="252" spans="5:6" ht="15.75" customHeight="1">
      <c r="E252" s="135"/>
      <c r="F252" s="135"/>
    </row>
    <row r="253" spans="5:6" ht="15.75" customHeight="1">
      <c r="E253" s="135"/>
      <c r="F253" s="135"/>
    </row>
    <row r="254" spans="5:6" ht="15.75" customHeight="1">
      <c r="E254" s="135"/>
      <c r="F254" s="135"/>
    </row>
    <row r="255" spans="5:6" ht="15.75" customHeight="1">
      <c r="E255" s="135"/>
      <c r="F255" s="135"/>
    </row>
    <row r="256" spans="5:6" ht="15.75" customHeight="1">
      <c r="E256" s="135"/>
      <c r="F256" s="135"/>
    </row>
    <row r="257" spans="5:6" ht="15.75" customHeight="1">
      <c r="E257" s="135"/>
      <c r="F257" s="135"/>
    </row>
    <row r="258" spans="5:6" ht="15.75" customHeight="1">
      <c r="E258" s="135"/>
      <c r="F258" s="135"/>
    </row>
    <row r="259" spans="5:6" ht="15.75" customHeight="1">
      <c r="E259" s="135"/>
      <c r="F259" s="135"/>
    </row>
    <row r="260" spans="5:6" ht="15.75" customHeight="1">
      <c r="E260" s="135"/>
      <c r="F260" s="135"/>
    </row>
    <row r="261" spans="5:6" ht="15.75" customHeight="1">
      <c r="E261" s="135"/>
      <c r="F261" s="135"/>
    </row>
    <row r="262" spans="5:6" ht="15.75" customHeight="1">
      <c r="E262" s="135"/>
      <c r="F262" s="135"/>
    </row>
    <row r="263" spans="5:6" ht="15.75" customHeight="1">
      <c r="E263" s="135"/>
      <c r="F263" s="135"/>
    </row>
    <row r="264" spans="5:6" ht="15.75" customHeight="1">
      <c r="E264" s="135"/>
      <c r="F264" s="135"/>
    </row>
    <row r="265" spans="5:6" ht="15.75" customHeight="1">
      <c r="E265" s="135"/>
      <c r="F265" s="135"/>
    </row>
    <row r="266" spans="5:6" ht="15.75" customHeight="1">
      <c r="E266" s="135"/>
      <c r="F266" s="135"/>
    </row>
    <row r="267" spans="5:6" ht="15.75" customHeight="1">
      <c r="E267" s="135"/>
      <c r="F267" s="135"/>
    </row>
    <row r="268" spans="5:6" ht="15.75" customHeight="1">
      <c r="E268" s="135"/>
      <c r="F268" s="135"/>
    </row>
    <row r="269" spans="5:6" ht="15.75" customHeight="1">
      <c r="E269" s="135"/>
      <c r="F269" s="135"/>
    </row>
    <row r="270" spans="5:6" ht="15.75" customHeight="1">
      <c r="E270" s="135"/>
      <c r="F270" s="135"/>
    </row>
    <row r="271" spans="5:6" ht="15.75" customHeight="1">
      <c r="E271" s="135"/>
      <c r="F271" s="135"/>
    </row>
    <row r="272" spans="5:6" ht="15.75" customHeight="1">
      <c r="E272" s="135"/>
      <c r="F272" s="135"/>
    </row>
    <row r="273" spans="5:6" ht="15.75" customHeight="1">
      <c r="E273" s="135"/>
      <c r="F273" s="135"/>
    </row>
    <row r="274" spans="5:6" ht="15.75" customHeight="1">
      <c r="E274" s="135"/>
      <c r="F274" s="135"/>
    </row>
    <row r="275" spans="5:6" ht="15.75" customHeight="1">
      <c r="E275" s="135"/>
      <c r="F275" s="135"/>
    </row>
    <row r="276" spans="5:6" ht="15.75" customHeight="1">
      <c r="E276" s="135"/>
      <c r="F276" s="135"/>
    </row>
    <row r="277" spans="5:6" ht="15.75" customHeight="1">
      <c r="E277" s="135"/>
      <c r="F277" s="135"/>
    </row>
    <row r="278" spans="5:6" ht="15.75" customHeight="1">
      <c r="E278" s="135"/>
      <c r="F278" s="135"/>
    </row>
    <row r="279" spans="5:6" ht="15.75" customHeight="1">
      <c r="E279" s="135"/>
      <c r="F279" s="135"/>
    </row>
    <row r="280" spans="5:6" ht="15.75" customHeight="1">
      <c r="E280" s="135"/>
      <c r="F280" s="135"/>
    </row>
    <row r="281" spans="5:6" ht="15.75" customHeight="1">
      <c r="E281" s="135"/>
      <c r="F281" s="135"/>
    </row>
    <row r="282" spans="5:6" ht="15.75" customHeight="1">
      <c r="E282" s="135"/>
      <c r="F282" s="135"/>
    </row>
    <row r="283" spans="5:6" ht="15.75" customHeight="1">
      <c r="E283" s="135"/>
      <c r="F283" s="135"/>
    </row>
    <row r="284" spans="5:6" ht="15.75" customHeight="1">
      <c r="E284" s="135"/>
      <c r="F284" s="135"/>
    </row>
    <row r="285" spans="5:6" ht="15.75" customHeight="1">
      <c r="E285" s="135"/>
      <c r="F285" s="135"/>
    </row>
    <row r="286" spans="5:6" ht="15.75" customHeight="1">
      <c r="E286" s="135"/>
      <c r="F286" s="135"/>
    </row>
    <row r="287" spans="5:6" ht="15.75" customHeight="1">
      <c r="E287" s="135"/>
      <c r="F287" s="135"/>
    </row>
    <row r="288" spans="5:6" ht="15.75" customHeight="1">
      <c r="E288" s="135"/>
      <c r="F288" s="135"/>
    </row>
    <row r="289" spans="5:6" ht="15.75" customHeight="1">
      <c r="E289" s="135"/>
      <c r="F289" s="135"/>
    </row>
    <row r="290" spans="5:6" ht="15.75" customHeight="1">
      <c r="E290" s="135"/>
      <c r="F290" s="135"/>
    </row>
    <row r="291" spans="5:6" ht="15.75" customHeight="1">
      <c r="E291" s="135"/>
      <c r="F291" s="135"/>
    </row>
    <row r="292" spans="5:6" ht="15.75" customHeight="1">
      <c r="E292" s="135"/>
      <c r="F292" s="135"/>
    </row>
    <row r="293" spans="5:6" ht="15.75" customHeight="1">
      <c r="E293" s="135"/>
      <c r="F293" s="135"/>
    </row>
    <row r="294" spans="5:6" ht="15.75" customHeight="1">
      <c r="E294" s="135"/>
      <c r="F294" s="135"/>
    </row>
    <row r="295" spans="5:6" ht="15.75" customHeight="1">
      <c r="E295" s="135"/>
      <c r="F295" s="135"/>
    </row>
    <row r="296" spans="5:6" ht="15.75" customHeight="1">
      <c r="E296" s="135"/>
      <c r="F296" s="135"/>
    </row>
    <row r="297" spans="5:6" ht="15.75" customHeight="1">
      <c r="E297" s="135"/>
      <c r="F297" s="135"/>
    </row>
    <row r="298" spans="5:6" ht="15.75" customHeight="1">
      <c r="E298" s="135"/>
      <c r="F298" s="135"/>
    </row>
    <row r="299" spans="5:6" ht="15.75" customHeight="1">
      <c r="E299" s="135"/>
      <c r="F299" s="135"/>
    </row>
    <row r="300" spans="5:6" ht="15.75" customHeight="1">
      <c r="E300" s="135"/>
      <c r="F300" s="135"/>
    </row>
    <row r="301" spans="5:6" ht="15.75" customHeight="1">
      <c r="E301" s="135"/>
      <c r="F301" s="135"/>
    </row>
    <row r="302" spans="5:6" ht="15.75" customHeight="1">
      <c r="E302" s="135"/>
      <c r="F302" s="135"/>
    </row>
    <row r="303" spans="5:6" ht="15.75" customHeight="1">
      <c r="E303" s="135"/>
      <c r="F303" s="135"/>
    </row>
    <row r="304" spans="5:6" ht="15.75" customHeight="1">
      <c r="E304" s="135"/>
      <c r="F304" s="135"/>
    </row>
    <row r="305" spans="5:6" ht="15.75" customHeight="1">
      <c r="E305" s="135"/>
      <c r="F305" s="135"/>
    </row>
    <row r="306" spans="5:6" ht="15.75" customHeight="1">
      <c r="E306" s="135"/>
      <c r="F306" s="135"/>
    </row>
    <row r="307" spans="5:6" ht="15.75" customHeight="1">
      <c r="E307" s="135"/>
      <c r="F307" s="135"/>
    </row>
    <row r="308" spans="5:6" ht="15.75" customHeight="1">
      <c r="E308" s="135"/>
      <c r="F308" s="135"/>
    </row>
    <row r="309" spans="5:6" ht="15.75" customHeight="1">
      <c r="E309" s="135"/>
      <c r="F309" s="135"/>
    </row>
    <row r="310" spans="5:6" ht="15.75" customHeight="1">
      <c r="E310" s="135"/>
      <c r="F310" s="135"/>
    </row>
    <row r="311" spans="5:6" ht="15.75" customHeight="1">
      <c r="E311" s="135"/>
      <c r="F311" s="135"/>
    </row>
    <row r="312" spans="5:6" ht="15.75" customHeight="1">
      <c r="E312" s="135"/>
      <c r="F312" s="135"/>
    </row>
    <row r="313" spans="5:6" ht="15.75" customHeight="1">
      <c r="E313" s="135"/>
      <c r="F313" s="135"/>
    </row>
    <row r="314" spans="5:6" ht="15.75" customHeight="1">
      <c r="E314" s="135"/>
      <c r="F314" s="135"/>
    </row>
    <row r="315" spans="5:6" ht="15.75" customHeight="1">
      <c r="E315" s="135"/>
      <c r="F315" s="135"/>
    </row>
    <row r="316" spans="5:6" ht="15.75" customHeight="1">
      <c r="E316" s="135"/>
      <c r="F316" s="135"/>
    </row>
    <row r="317" spans="5:6" ht="15.75" customHeight="1">
      <c r="E317" s="135"/>
      <c r="F317" s="135"/>
    </row>
    <row r="318" spans="5:6" ht="15.75" customHeight="1">
      <c r="E318" s="135"/>
      <c r="F318" s="135"/>
    </row>
    <row r="319" spans="5:6" ht="15.75" customHeight="1">
      <c r="E319" s="135"/>
      <c r="F319" s="135"/>
    </row>
    <row r="320" spans="5:6" ht="15.75" customHeight="1">
      <c r="E320" s="135"/>
      <c r="F320" s="135"/>
    </row>
    <row r="321" spans="5:6" ht="15.75" customHeight="1">
      <c r="E321" s="135"/>
      <c r="F321" s="135"/>
    </row>
    <row r="322" spans="5:6" ht="15.75" customHeight="1">
      <c r="E322" s="135"/>
      <c r="F322" s="135"/>
    </row>
    <row r="323" spans="5:6" ht="15.75" customHeight="1">
      <c r="E323" s="135"/>
      <c r="F323" s="135"/>
    </row>
    <row r="324" spans="5:6" ht="15.75" customHeight="1">
      <c r="E324" s="135"/>
      <c r="F324" s="135"/>
    </row>
    <row r="325" spans="5:6" ht="15.75" customHeight="1">
      <c r="E325" s="135"/>
      <c r="F325" s="135"/>
    </row>
    <row r="326" spans="5:6" ht="15.75" customHeight="1">
      <c r="E326" s="135"/>
      <c r="F326" s="135"/>
    </row>
    <row r="327" spans="5:6" ht="15.75" customHeight="1">
      <c r="E327" s="135"/>
      <c r="F327" s="135"/>
    </row>
    <row r="328" spans="5:6" ht="15.75" customHeight="1">
      <c r="E328" s="135"/>
      <c r="F328" s="135"/>
    </row>
    <row r="329" spans="5:6" ht="15.75" customHeight="1">
      <c r="E329" s="135"/>
      <c r="F329" s="135"/>
    </row>
    <row r="330" spans="5:6" ht="15.75" customHeight="1">
      <c r="E330" s="135"/>
      <c r="F330" s="135"/>
    </row>
    <row r="331" spans="5:6" ht="15.75" customHeight="1">
      <c r="E331" s="135"/>
      <c r="F331" s="135"/>
    </row>
    <row r="332" spans="5:6" ht="15.75" customHeight="1">
      <c r="E332" s="135"/>
      <c r="F332" s="135"/>
    </row>
    <row r="333" spans="5:6" ht="15.75" customHeight="1">
      <c r="E333" s="135"/>
      <c r="F333" s="135"/>
    </row>
    <row r="334" spans="5:6" ht="15.75" customHeight="1">
      <c r="E334" s="135"/>
      <c r="F334" s="135"/>
    </row>
    <row r="335" spans="5:6" ht="15.75" customHeight="1">
      <c r="E335" s="135"/>
      <c r="F335" s="135"/>
    </row>
    <row r="336" spans="5:6" ht="15.75" customHeight="1">
      <c r="E336" s="135"/>
      <c r="F336" s="135"/>
    </row>
    <row r="337" spans="5:6" ht="15.75" customHeight="1">
      <c r="E337" s="135"/>
      <c r="F337" s="135"/>
    </row>
    <row r="338" spans="5:6" ht="15.75" customHeight="1">
      <c r="E338" s="135"/>
      <c r="F338" s="135"/>
    </row>
    <row r="339" spans="5:6" ht="15.75" customHeight="1">
      <c r="E339" s="135"/>
      <c r="F339" s="135"/>
    </row>
    <row r="340" spans="5:6" ht="15.75" customHeight="1">
      <c r="E340" s="135"/>
      <c r="F340" s="135"/>
    </row>
    <row r="341" spans="5:6" ht="15.75" customHeight="1">
      <c r="E341" s="135"/>
      <c r="F341" s="135"/>
    </row>
    <row r="342" spans="5:6" ht="15.75" customHeight="1">
      <c r="E342" s="135"/>
      <c r="F342" s="135"/>
    </row>
    <row r="343" spans="5:6" ht="15.75" customHeight="1">
      <c r="E343" s="135"/>
      <c r="F343" s="135"/>
    </row>
    <row r="344" spans="5:6" ht="15.75" customHeight="1">
      <c r="E344" s="135"/>
      <c r="F344" s="135"/>
    </row>
    <row r="345" spans="5:6" ht="15.75" customHeight="1">
      <c r="E345" s="135"/>
      <c r="F345" s="135"/>
    </row>
    <row r="346" spans="5:6" ht="15.75" customHeight="1">
      <c r="E346" s="135"/>
      <c r="F346" s="135"/>
    </row>
    <row r="347" spans="5:6" ht="15.75" customHeight="1">
      <c r="E347" s="135"/>
      <c r="F347" s="135"/>
    </row>
    <row r="348" spans="5:6" ht="15.75" customHeight="1">
      <c r="E348" s="135"/>
      <c r="F348" s="135"/>
    </row>
    <row r="349" spans="5:6" ht="15.75" customHeight="1">
      <c r="E349" s="135"/>
      <c r="F349" s="135"/>
    </row>
    <row r="350" spans="5:6" ht="15.75" customHeight="1">
      <c r="E350" s="135"/>
      <c r="F350" s="135"/>
    </row>
    <row r="351" spans="5:6" ht="15.75" customHeight="1">
      <c r="E351" s="135"/>
      <c r="F351" s="135"/>
    </row>
    <row r="352" spans="5:6" ht="15.75" customHeight="1">
      <c r="E352" s="135"/>
      <c r="F352" s="135"/>
    </row>
    <row r="353" spans="5:6" ht="15.75" customHeight="1">
      <c r="E353" s="135"/>
      <c r="F353" s="135"/>
    </row>
    <row r="354" spans="5:6" ht="15.75" customHeight="1">
      <c r="E354" s="135"/>
      <c r="F354" s="135"/>
    </row>
    <row r="355" spans="5:6" ht="15.75" customHeight="1">
      <c r="E355" s="135"/>
      <c r="F355" s="135"/>
    </row>
    <row r="356" spans="5:6" ht="15.75" customHeight="1">
      <c r="E356" s="135"/>
      <c r="F356" s="135"/>
    </row>
    <row r="357" spans="5:6" ht="15.75" customHeight="1">
      <c r="E357" s="135"/>
      <c r="F357" s="135"/>
    </row>
    <row r="358" spans="5:6" ht="15.75" customHeight="1">
      <c r="E358" s="135"/>
      <c r="F358" s="135"/>
    </row>
    <row r="359" spans="5:6" ht="15.75" customHeight="1">
      <c r="E359" s="135"/>
      <c r="F359" s="135"/>
    </row>
    <row r="360" spans="5:6" ht="15.75" customHeight="1">
      <c r="E360" s="135"/>
      <c r="F360" s="135"/>
    </row>
    <row r="361" spans="5:6" ht="15.75" customHeight="1">
      <c r="E361" s="135"/>
      <c r="F361" s="135"/>
    </row>
    <row r="362" spans="5:6" ht="15.75" customHeight="1">
      <c r="E362" s="135"/>
      <c r="F362" s="135"/>
    </row>
    <row r="363" spans="5:6" ht="15.75" customHeight="1">
      <c r="E363" s="135"/>
      <c r="F363" s="135"/>
    </row>
    <row r="364" spans="5:6" ht="15.75" customHeight="1">
      <c r="E364" s="135"/>
      <c r="F364" s="135"/>
    </row>
    <row r="365" spans="5:6" ht="15.75" customHeight="1">
      <c r="E365" s="135"/>
      <c r="F365" s="135"/>
    </row>
    <row r="366" spans="5:6" ht="15.75" customHeight="1">
      <c r="E366" s="135"/>
      <c r="F366" s="135"/>
    </row>
    <row r="367" spans="5:6" ht="15.75" customHeight="1">
      <c r="E367" s="135"/>
      <c r="F367" s="135"/>
    </row>
    <row r="368" spans="5:6" ht="15.75" customHeight="1">
      <c r="E368" s="135"/>
      <c r="F368" s="135"/>
    </row>
    <row r="369" spans="5:6" ht="15.75" customHeight="1">
      <c r="E369" s="135"/>
      <c r="F369" s="135"/>
    </row>
    <row r="370" spans="5:6" ht="15.75" customHeight="1">
      <c r="E370" s="135"/>
      <c r="F370" s="135"/>
    </row>
    <row r="371" spans="5:6" ht="15.75" customHeight="1">
      <c r="E371" s="135"/>
      <c r="F371" s="135"/>
    </row>
    <row r="372" spans="5:6" ht="15.75" customHeight="1">
      <c r="E372" s="135"/>
      <c r="F372" s="135"/>
    </row>
    <row r="373" spans="5:6" ht="15.75" customHeight="1">
      <c r="E373" s="135"/>
      <c r="F373" s="135"/>
    </row>
    <row r="374" spans="5:6" ht="15.75" customHeight="1">
      <c r="E374" s="135"/>
      <c r="F374" s="135"/>
    </row>
    <row r="375" spans="5:6" ht="15.75" customHeight="1">
      <c r="E375" s="135"/>
      <c r="F375" s="135"/>
    </row>
    <row r="376" spans="5:6" ht="15.75" customHeight="1">
      <c r="E376" s="135"/>
      <c r="F376" s="135"/>
    </row>
    <row r="377" spans="5:6" ht="15.75" customHeight="1">
      <c r="E377" s="135"/>
      <c r="F377" s="135"/>
    </row>
    <row r="378" spans="5:6" ht="15.75" customHeight="1">
      <c r="E378" s="135"/>
      <c r="F378" s="135"/>
    </row>
    <row r="379" spans="5:6" ht="15.75" customHeight="1">
      <c r="E379" s="135"/>
      <c r="F379" s="135"/>
    </row>
    <row r="380" spans="5:6" ht="15.75" customHeight="1">
      <c r="E380" s="135"/>
      <c r="F380" s="135"/>
    </row>
    <row r="381" spans="5:6" ht="15.75" customHeight="1">
      <c r="E381" s="135"/>
      <c r="F381" s="135"/>
    </row>
    <row r="382" spans="5:6" ht="15.75" customHeight="1">
      <c r="E382" s="135"/>
      <c r="F382" s="135"/>
    </row>
    <row r="383" spans="5:6" ht="15.75" customHeight="1">
      <c r="E383" s="135"/>
      <c r="F383" s="135"/>
    </row>
    <row r="384" spans="5:6" ht="15.75" customHeight="1">
      <c r="E384" s="135"/>
      <c r="F384" s="135"/>
    </row>
    <row r="385" spans="5:6" ht="15.75" customHeight="1">
      <c r="E385" s="135"/>
      <c r="F385" s="135"/>
    </row>
    <row r="386" spans="5:6" ht="15.75" customHeight="1">
      <c r="E386" s="135"/>
      <c r="F386" s="135"/>
    </row>
    <row r="387" spans="5:6" ht="15.75" customHeight="1">
      <c r="E387" s="135"/>
      <c r="F387" s="135"/>
    </row>
    <row r="388" spans="5:6" ht="15.75" customHeight="1">
      <c r="E388" s="135"/>
      <c r="F388" s="135"/>
    </row>
    <row r="389" spans="5:6" ht="15.75" customHeight="1">
      <c r="E389" s="135"/>
      <c r="F389" s="135"/>
    </row>
    <row r="390" spans="5:6" ht="15.75" customHeight="1">
      <c r="E390" s="135"/>
      <c r="F390" s="135"/>
    </row>
    <row r="391" spans="5:6" ht="15.75" customHeight="1">
      <c r="E391" s="135"/>
      <c r="F391" s="135"/>
    </row>
    <row r="392" spans="5:6" ht="15.75" customHeight="1">
      <c r="E392" s="135"/>
      <c r="F392" s="135"/>
    </row>
    <row r="393" spans="5:6" ht="15.75" customHeight="1">
      <c r="E393" s="135"/>
      <c r="F393" s="135"/>
    </row>
    <row r="394" spans="5:6" ht="15.75" customHeight="1">
      <c r="E394" s="135"/>
      <c r="F394" s="135"/>
    </row>
    <row r="395" spans="5:6" ht="15.75" customHeight="1">
      <c r="E395" s="135"/>
      <c r="F395" s="135"/>
    </row>
    <row r="396" spans="5:6" ht="15.75" customHeight="1">
      <c r="E396" s="135"/>
      <c r="F396" s="135"/>
    </row>
    <row r="397" spans="5:6" ht="15.75" customHeight="1">
      <c r="E397" s="135"/>
      <c r="F397" s="135"/>
    </row>
    <row r="398" spans="5:6" ht="15.75" customHeight="1">
      <c r="E398" s="135"/>
      <c r="F398" s="135"/>
    </row>
    <row r="399" spans="5:6" ht="15.75" customHeight="1">
      <c r="E399" s="135"/>
      <c r="F399" s="135"/>
    </row>
    <row r="400" spans="5:6" ht="15.75" customHeight="1">
      <c r="E400" s="135"/>
      <c r="F400" s="135"/>
    </row>
    <row r="401" spans="5:6" ht="15.75" customHeight="1">
      <c r="E401" s="135"/>
      <c r="F401" s="135"/>
    </row>
    <row r="402" spans="5:6" ht="15.75" customHeight="1">
      <c r="E402" s="135"/>
      <c r="F402" s="135"/>
    </row>
    <row r="403" spans="5:6" ht="15.75" customHeight="1">
      <c r="E403" s="135"/>
      <c r="F403" s="135"/>
    </row>
    <row r="404" spans="5:6" ht="15.75" customHeight="1">
      <c r="E404" s="135"/>
      <c r="F404" s="135"/>
    </row>
    <row r="405" spans="5:6" ht="15.75" customHeight="1">
      <c r="E405" s="135"/>
      <c r="F405" s="135"/>
    </row>
    <row r="406" spans="5:6" ht="15.75" customHeight="1">
      <c r="E406" s="135"/>
      <c r="F406" s="135"/>
    </row>
    <row r="407" spans="5:6" ht="15.75" customHeight="1">
      <c r="E407" s="135"/>
      <c r="F407" s="135"/>
    </row>
    <row r="408" spans="5:6" ht="15.75" customHeight="1">
      <c r="E408" s="135"/>
      <c r="F408" s="135"/>
    </row>
    <row r="409" spans="5:6" ht="15.75" customHeight="1">
      <c r="E409" s="135"/>
      <c r="F409" s="135"/>
    </row>
    <row r="410" spans="5:6" ht="15.75" customHeight="1">
      <c r="E410" s="135"/>
      <c r="F410" s="135"/>
    </row>
    <row r="411" spans="5:6" ht="15.75" customHeight="1">
      <c r="E411" s="135"/>
      <c r="F411" s="135"/>
    </row>
    <row r="412" spans="5:6" ht="15.75" customHeight="1">
      <c r="E412" s="135"/>
      <c r="F412" s="135"/>
    </row>
    <row r="413" spans="5:6" ht="15.75" customHeight="1">
      <c r="E413" s="135"/>
      <c r="F413" s="135"/>
    </row>
    <row r="414" spans="5:6" ht="15.75" customHeight="1">
      <c r="E414" s="135"/>
      <c r="F414" s="135"/>
    </row>
    <row r="415" spans="5:6" ht="15.75" customHeight="1">
      <c r="E415" s="135"/>
      <c r="F415" s="135"/>
    </row>
    <row r="416" spans="5:6" ht="15.75" customHeight="1">
      <c r="E416" s="135"/>
      <c r="F416" s="135"/>
    </row>
    <row r="417" spans="5:6" ht="15.75" customHeight="1">
      <c r="E417" s="135"/>
      <c r="F417" s="135"/>
    </row>
    <row r="418" spans="5:6" ht="15.75" customHeight="1">
      <c r="E418" s="135"/>
      <c r="F418" s="135"/>
    </row>
    <row r="419" spans="5:6" ht="15.75" customHeight="1">
      <c r="E419" s="135"/>
      <c r="F419" s="135"/>
    </row>
    <row r="420" spans="5:6" ht="15.75" customHeight="1">
      <c r="E420" s="135"/>
      <c r="F420" s="135"/>
    </row>
    <row r="421" spans="5:6" ht="15.75" customHeight="1">
      <c r="E421" s="135"/>
      <c r="F421" s="135"/>
    </row>
    <row r="422" spans="5:6" ht="15.75" customHeight="1">
      <c r="E422" s="135"/>
      <c r="F422" s="135"/>
    </row>
    <row r="423" spans="5:6" ht="15.75" customHeight="1">
      <c r="E423" s="135"/>
      <c r="F423" s="135"/>
    </row>
    <row r="424" spans="5:6" ht="15.75" customHeight="1">
      <c r="E424" s="135"/>
      <c r="F424" s="135"/>
    </row>
    <row r="425" spans="5:6" ht="15.75" customHeight="1">
      <c r="E425" s="135"/>
      <c r="F425" s="135"/>
    </row>
    <row r="426" spans="5:6" ht="15.75" customHeight="1">
      <c r="E426" s="135"/>
      <c r="F426" s="135"/>
    </row>
    <row r="427" spans="5:6" ht="15.75" customHeight="1">
      <c r="E427" s="135"/>
      <c r="F427" s="135"/>
    </row>
    <row r="428" spans="5:6" ht="15.75" customHeight="1">
      <c r="E428" s="135"/>
      <c r="F428" s="135"/>
    </row>
    <row r="429" spans="5:6" ht="15.75" customHeight="1">
      <c r="E429" s="135"/>
      <c r="F429" s="135"/>
    </row>
    <row r="430" spans="5:6" ht="15.75" customHeight="1">
      <c r="E430" s="135"/>
      <c r="F430" s="135"/>
    </row>
    <row r="431" spans="5:6" ht="15.75" customHeight="1">
      <c r="E431" s="135"/>
      <c r="F431" s="135"/>
    </row>
    <row r="432" spans="5:6" ht="15.75" customHeight="1">
      <c r="E432" s="135"/>
      <c r="F432" s="135"/>
    </row>
    <row r="433" spans="5:6" ht="15.75" customHeight="1">
      <c r="E433" s="135"/>
      <c r="F433" s="135"/>
    </row>
    <row r="434" spans="5:6" ht="15.75" customHeight="1">
      <c r="E434" s="135"/>
      <c r="F434" s="135"/>
    </row>
    <row r="435" spans="5:6" ht="15.75" customHeight="1">
      <c r="E435" s="135"/>
      <c r="F435" s="135"/>
    </row>
    <row r="436" spans="5:6" ht="15.75" customHeight="1">
      <c r="E436" s="135"/>
      <c r="F436" s="135"/>
    </row>
    <row r="437" spans="5:6" ht="15.75" customHeight="1">
      <c r="E437" s="135"/>
      <c r="F437" s="135"/>
    </row>
    <row r="438" spans="5:6" ht="15.75" customHeight="1">
      <c r="E438" s="135"/>
      <c r="F438" s="135"/>
    </row>
    <row r="439" spans="5:6" ht="15.75" customHeight="1">
      <c r="E439" s="135"/>
      <c r="F439" s="135"/>
    </row>
    <row r="440" spans="5:6" ht="15.75" customHeight="1">
      <c r="E440" s="135"/>
      <c r="F440" s="135"/>
    </row>
    <row r="441" spans="5:6" ht="15.75" customHeight="1">
      <c r="E441" s="135"/>
      <c r="F441" s="135"/>
    </row>
    <row r="442" spans="5:6" ht="15.75" customHeight="1">
      <c r="E442" s="135"/>
      <c r="F442" s="135"/>
    </row>
    <row r="443" spans="5:6" ht="15.75" customHeight="1">
      <c r="E443" s="135"/>
      <c r="F443" s="135"/>
    </row>
    <row r="444" spans="5:6" ht="15.75" customHeight="1">
      <c r="E444" s="135"/>
      <c r="F444" s="135"/>
    </row>
    <row r="445" spans="5:6" ht="15.75" customHeight="1">
      <c r="E445" s="135"/>
      <c r="F445" s="135"/>
    </row>
    <row r="446" spans="5:6" ht="15.75" customHeight="1">
      <c r="E446" s="135"/>
      <c r="F446" s="135"/>
    </row>
    <row r="447" spans="5:6" ht="15.75" customHeight="1">
      <c r="E447" s="135"/>
      <c r="F447" s="135"/>
    </row>
    <row r="448" spans="5:6" ht="15.75" customHeight="1">
      <c r="E448" s="135"/>
      <c r="F448" s="135"/>
    </row>
    <row r="449" spans="5:6" ht="15.75" customHeight="1">
      <c r="E449" s="135"/>
      <c r="F449" s="135"/>
    </row>
    <row r="450" spans="5:6" ht="15.75" customHeight="1">
      <c r="E450" s="135"/>
      <c r="F450" s="135"/>
    </row>
    <row r="451" spans="5:6" ht="15.75" customHeight="1">
      <c r="E451" s="135"/>
      <c r="F451" s="135"/>
    </row>
    <row r="452" spans="5:6" ht="15.75" customHeight="1">
      <c r="E452" s="135"/>
      <c r="F452" s="135"/>
    </row>
    <row r="453" spans="5:6" ht="15.75" customHeight="1">
      <c r="E453" s="135"/>
      <c r="F453" s="135"/>
    </row>
    <row r="454" spans="5:6" ht="15.75" customHeight="1">
      <c r="E454" s="135"/>
      <c r="F454" s="135"/>
    </row>
    <row r="455" spans="5:6" ht="15.75" customHeight="1">
      <c r="E455" s="135"/>
      <c r="F455" s="135"/>
    </row>
    <row r="456" spans="5:6" ht="15.75" customHeight="1">
      <c r="E456" s="135"/>
      <c r="F456" s="135"/>
    </row>
    <row r="457" spans="5:6" ht="15.75" customHeight="1">
      <c r="E457" s="135"/>
      <c r="F457" s="135"/>
    </row>
    <row r="458" spans="5:6" ht="15.75" customHeight="1">
      <c r="E458" s="135"/>
      <c r="F458" s="135"/>
    </row>
    <row r="459" spans="5:6" ht="15.75" customHeight="1">
      <c r="E459" s="135"/>
      <c r="F459" s="135"/>
    </row>
    <row r="460" spans="5:6" ht="15.75" customHeight="1">
      <c r="E460" s="135"/>
      <c r="F460" s="135"/>
    </row>
    <row r="461" spans="5:6" ht="15.75" customHeight="1">
      <c r="E461" s="135"/>
      <c r="F461" s="135"/>
    </row>
    <row r="462" spans="5:6" ht="15.75" customHeight="1">
      <c r="E462" s="135"/>
      <c r="F462" s="135"/>
    </row>
    <row r="463" spans="5:6" ht="15.75" customHeight="1">
      <c r="E463" s="135"/>
      <c r="F463" s="135"/>
    </row>
    <row r="464" spans="5:6" ht="15.75" customHeight="1">
      <c r="E464" s="135"/>
      <c r="F464" s="135"/>
    </row>
    <row r="465" spans="5:6" ht="15.75" customHeight="1">
      <c r="E465" s="135"/>
      <c r="F465" s="135"/>
    </row>
    <row r="466" spans="5:6" ht="15.75" customHeight="1">
      <c r="E466" s="135"/>
      <c r="F466" s="135"/>
    </row>
    <row r="467" spans="5:6" ht="15.75" customHeight="1">
      <c r="E467" s="135"/>
      <c r="F467" s="135"/>
    </row>
    <row r="468" spans="5:6" ht="15.75" customHeight="1">
      <c r="E468" s="135"/>
      <c r="F468" s="135"/>
    </row>
    <row r="469" spans="5:6" ht="15.75" customHeight="1">
      <c r="E469" s="135"/>
      <c r="F469" s="135"/>
    </row>
    <row r="470" spans="5:6" ht="15.75" customHeight="1">
      <c r="E470" s="135"/>
      <c r="F470" s="135"/>
    </row>
    <row r="471" spans="5:6" ht="15.75" customHeight="1">
      <c r="E471" s="135"/>
      <c r="F471" s="135"/>
    </row>
    <row r="472" spans="5:6" ht="15.75" customHeight="1">
      <c r="E472" s="135"/>
      <c r="F472" s="135"/>
    </row>
    <row r="473" spans="5:6" ht="15.75" customHeight="1">
      <c r="E473" s="135"/>
      <c r="F473" s="135"/>
    </row>
    <row r="474" spans="5:6" ht="15.75" customHeight="1">
      <c r="E474" s="135"/>
      <c r="F474" s="135"/>
    </row>
    <row r="475" spans="5:6" ht="15.75" customHeight="1">
      <c r="E475" s="135"/>
      <c r="F475" s="135"/>
    </row>
    <row r="476" spans="5:6" ht="15.75" customHeight="1">
      <c r="E476" s="135"/>
      <c r="F476" s="135"/>
    </row>
    <row r="477" spans="5:6" ht="15.75" customHeight="1">
      <c r="E477" s="135"/>
      <c r="F477" s="135"/>
    </row>
    <row r="478" spans="5:6" ht="15.75" customHeight="1">
      <c r="E478" s="135"/>
      <c r="F478" s="135"/>
    </row>
    <row r="479" spans="5:6" ht="15.75" customHeight="1">
      <c r="E479" s="135"/>
      <c r="F479" s="135"/>
    </row>
    <row r="480" spans="5:6" ht="15.75" customHeight="1">
      <c r="E480" s="135"/>
      <c r="F480" s="135"/>
    </row>
    <row r="481" spans="5:6" ht="15.75" customHeight="1">
      <c r="E481" s="135"/>
      <c r="F481" s="135"/>
    </row>
    <row r="482" spans="5:6" ht="15.75" customHeight="1">
      <c r="E482" s="135"/>
      <c r="F482" s="135"/>
    </row>
    <row r="483" spans="5:6" ht="15.75" customHeight="1">
      <c r="E483" s="135"/>
      <c r="F483" s="135"/>
    </row>
    <row r="484" spans="5:6" ht="15.75" customHeight="1">
      <c r="E484" s="135"/>
      <c r="F484" s="135"/>
    </row>
    <row r="485" spans="5:6" ht="15.75" customHeight="1">
      <c r="E485" s="135"/>
      <c r="F485" s="135"/>
    </row>
    <row r="486" spans="5:6" ht="15.75" customHeight="1">
      <c r="E486" s="135"/>
      <c r="F486" s="135"/>
    </row>
    <row r="487" spans="5:6" ht="15.75" customHeight="1">
      <c r="E487" s="135"/>
      <c r="F487" s="135"/>
    </row>
    <row r="488" spans="5:6" ht="15.75" customHeight="1">
      <c r="E488" s="135"/>
      <c r="F488" s="135"/>
    </row>
    <row r="489" spans="5:6" ht="15.75" customHeight="1">
      <c r="E489" s="135"/>
      <c r="F489" s="135"/>
    </row>
    <row r="490" spans="5:6" ht="15.75" customHeight="1">
      <c r="E490" s="135"/>
      <c r="F490" s="135"/>
    </row>
    <row r="491" spans="5:6" ht="15.75" customHeight="1">
      <c r="E491" s="135"/>
      <c r="F491" s="135"/>
    </row>
    <row r="492" spans="5:6" ht="15.75" customHeight="1">
      <c r="E492" s="135"/>
      <c r="F492" s="135"/>
    </row>
    <row r="493" spans="5:6" ht="15.75" customHeight="1">
      <c r="E493" s="135"/>
      <c r="F493" s="135"/>
    </row>
    <row r="494" spans="5:6" ht="15.75" customHeight="1">
      <c r="E494" s="135"/>
      <c r="F494" s="135"/>
    </row>
    <row r="495" spans="5:6" ht="15.75" customHeight="1">
      <c r="E495" s="135"/>
      <c r="F495" s="135"/>
    </row>
    <row r="496" spans="5:6" ht="15.75" customHeight="1">
      <c r="E496" s="135"/>
      <c r="F496" s="135"/>
    </row>
    <row r="497" spans="5:6" ht="15.75" customHeight="1">
      <c r="E497" s="135"/>
      <c r="F497" s="135"/>
    </row>
    <row r="498" spans="5:6" ht="15.75" customHeight="1">
      <c r="E498" s="135"/>
      <c r="F498" s="135"/>
    </row>
    <row r="499" spans="5:6" ht="15.75" customHeight="1">
      <c r="E499" s="135"/>
      <c r="F499" s="135"/>
    </row>
    <row r="500" spans="5:6" ht="15.75" customHeight="1">
      <c r="E500" s="135"/>
      <c r="F500" s="135"/>
    </row>
    <row r="501" spans="5:6" ht="15.75" customHeight="1">
      <c r="E501" s="135"/>
      <c r="F501" s="135"/>
    </row>
    <row r="502" spans="5:6" ht="15.75" customHeight="1">
      <c r="E502" s="135"/>
      <c r="F502" s="135"/>
    </row>
    <row r="503" spans="5:6" ht="15.75" customHeight="1">
      <c r="E503" s="135"/>
      <c r="F503" s="135"/>
    </row>
    <row r="504" spans="5:6" ht="15.75" customHeight="1">
      <c r="E504" s="135"/>
      <c r="F504" s="135"/>
    </row>
    <row r="505" spans="5:6" ht="15.75" customHeight="1">
      <c r="E505" s="135"/>
      <c r="F505" s="135"/>
    </row>
    <row r="506" spans="5:6" ht="15.75" customHeight="1">
      <c r="E506" s="135"/>
      <c r="F506" s="135"/>
    </row>
    <row r="507" spans="5:6" ht="15.75" customHeight="1">
      <c r="E507" s="135"/>
      <c r="F507" s="135"/>
    </row>
    <row r="508" spans="5:6" ht="15.75" customHeight="1">
      <c r="E508" s="135"/>
      <c r="F508" s="135"/>
    </row>
    <row r="509" spans="5:6" ht="15.75" customHeight="1">
      <c r="E509" s="135"/>
      <c r="F509" s="135"/>
    </row>
    <row r="510" spans="5:6" ht="15.75" customHeight="1">
      <c r="E510" s="135"/>
      <c r="F510" s="135"/>
    </row>
    <row r="511" spans="5:6" ht="15.75" customHeight="1">
      <c r="E511" s="135"/>
      <c r="F511" s="135"/>
    </row>
    <row r="512" spans="5:6" ht="15.75" customHeight="1">
      <c r="E512" s="135"/>
      <c r="F512" s="135"/>
    </row>
    <row r="513" spans="5:6" ht="15.75" customHeight="1">
      <c r="E513" s="135"/>
      <c r="F513" s="135"/>
    </row>
    <row r="514" spans="5:6" ht="15.75" customHeight="1">
      <c r="E514" s="135"/>
      <c r="F514" s="135"/>
    </row>
    <row r="515" spans="5:6" ht="15.75" customHeight="1">
      <c r="E515" s="135"/>
      <c r="F515" s="135"/>
    </row>
    <row r="516" spans="5:6" ht="15.75" customHeight="1">
      <c r="E516" s="135"/>
      <c r="F516" s="135"/>
    </row>
    <row r="517" spans="5:6" ht="15.75" customHeight="1">
      <c r="E517" s="135"/>
      <c r="F517" s="135"/>
    </row>
    <row r="518" spans="5:6" ht="15.75" customHeight="1">
      <c r="E518" s="135"/>
      <c r="F518" s="135"/>
    </row>
    <row r="519" spans="5:6" ht="15.75" customHeight="1">
      <c r="E519" s="135"/>
      <c r="F519" s="135"/>
    </row>
    <row r="520" spans="5:6" ht="15.75" customHeight="1">
      <c r="E520" s="135"/>
      <c r="F520" s="135"/>
    </row>
    <row r="521" spans="5:6" ht="15.75" customHeight="1">
      <c r="E521" s="135"/>
      <c r="F521" s="135"/>
    </row>
    <row r="522" spans="5:6" ht="15.75" customHeight="1">
      <c r="E522" s="135"/>
      <c r="F522" s="135"/>
    </row>
    <row r="523" spans="5:6" ht="15.75" customHeight="1">
      <c r="E523" s="135"/>
      <c r="F523" s="135"/>
    </row>
    <row r="524" spans="5:6" ht="15.75" customHeight="1">
      <c r="E524" s="135"/>
      <c r="F524" s="135"/>
    </row>
    <row r="525" spans="5:6" ht="15.75" customHeight="1">
      <c r="E525" s="135"/>
      <c r="F525" s="135"/>
    </row>
    <row r="526" spans="5:6" ht="15.75" customHeight="1">
      <c r="E526" s="135"/>
      <c r="F526" s="135"/>
    </row>
    <row r="527" spans="5:6" ht="15.75" customHeight="1">
      <c r="E527" s="135"/>
      <c r="F527" s="135"/>
    </row>
    <row r="528" spans="5:6" ht="15.75" customHeight="1">
      <c r="E528" s="135"/>
      <c r="F528" s="135"/>
    </row>
    <row r="529" spans="5:6" ht="15.75" customHeight="1">
      <c r="E529" s="135"/>
      <c r="F529" s="135"/>
    </row>
    <row r="530" spans="5:6" ht="15.75" customHeight="1">
      <c r="E530" s="135"/>
      <c r="F530" s="135"/>
    </row>
    <row r="531" spans="5:6" ht="15.75" customHeight="1">
      <c r="E531" s="135"/>
      <c r="F531" s="135"/>
    </row>
    <row r="532" spans="5:6" ht="15.75" customHeight="1">
      <c r="E532" s="135"/>
      <c r="F532" s="135"/>
    </row>
    <row r="533" spans="5:6" ht="15.75" customHeight="1">
      <c r="E533" s="135"/>
      <c r="F533" s="135"/>
    </row>
    <row r="534" spans="5:6" ht="15.75" customHeight="1">
      <c r="E534" s="135"/>
      <c r="F534" s="135"/>
    </row>
    <row r="535" spans="5:6" ht="15.75" customHeight="1">
      <c r="E535" s="135"/>
      <c r="F535" s="135"/>
    </row>
    <row r="536" spans="5:6" ht="15.75" customHeight="1">
      <c r="E536" s="135"/>
      <c r="F536" s="135"/>
    </row>
    <row r="537" spans="5:6" ht="15.75" customHeight="1">
      <c r="E537" s="135"/>
      <c r="F537" s="135"/>
    </row>
    <row r="538" spans="5:6" ht="15.75" customHeight="1">
      <c r="E538" s="135"/>
      <c r="F538" s="135"/>
    </row>
    <row r="539" spans="5:6" ht="15.75" customHeight="1">
      <c r="E539" s="135"/>
      <c r="F539" s="135"/>
    </row>
    <row r="540" spans="5:6" ht="15.75" customHeight="1">
      <c r="E540" s="135"/>
      <c r="F540" s="135"/>
    </row>
    <row r="541" spans="5:6" ht="15.75" customHeight="1">
      <c r="E541" s="135"/>
      <c r="F541" s="135"/>
    </row>
    <row r="542" spans="5:6" ht="15.75" customHeight="1">
      <c r="E542" s="135"/>
      <c r="F542" s="135"/>
    </row>
    <row r="543" spans="5:6" ht="15.75" customHeight="1">
      <c r="E543" s="135"/>
      <c r="F543" s="135"/>
    </row>
    <row r="544" spans="5:6" ht="15.75" customHeight="1">
      <c r="E544" s="135"/>
      <c r="F544" s="135"/>
    </row>
    <row r="545" spans="5:6" ht="15.75" customHeight="1">
      <c r="E545" s="135"/>
      <c r="F545" s="135"/>
    </row>
    <row r="546" spans="5:6" ht="15.75" customHeight="1">
      <c r="E546" s="135"/>
      <c r="F546" s="135"/>
    </row>
    <row r="547" spans="5:6" ht="15.75" customHeight="1">
      <c r="E547" s="135"/>
      <c r="F547" s="135"/>
    </row>
    <row r="548" spans="5:6" ht="15.75" customHeight="1">
      <c r="E548" s="135"/>
      <c r="F548" s="135"/>
    </row>
    <row r="549" spans="5:6" ht="15.75" customHeight="1">
      <c r="E549" s="135"/>
      <c r="F549" s="135"/>
    </row>
    <row r="550" spans="5:6" ht="15.75" customHeight="1">
      <c r="E550" s="135"/>
      <c r="F550" s="135"/>
    </row>
    <row r="551" spans="5:6" ht="15.75" customHeight="1">
      <c r="E551" s="135"/>
      <c r="F551" s="135"/>
    </row>
    <row r="552" spans="5:6" ht="15.75" customHeight="1">
      <c r="E552" s="135"/>
      <c r="F552" s="135"/>
    </row>
    <row r="553" spans="5:6" ht="15.75" customHeight="1">
      <c r="E553" s="135"/>
      <c r="F553" s="135"/>
    </row>
    <row r="554" spans="5:6" ht="15.75" customHeight="1">
      <c r="E554" s="135"/>
      <c r="F554" s="135"/>
    </row>
    <row r="555" spans="5:6" ht="15.75" customHeight="1">
      <c r="E555" s="135"/>
      <c r="F555" s="135"/>
    </row>
    <row r="556" spans="5:6" ht="15.75" customHeight="1">
      <c r="E556" s="135"/>
      <c r="F556" s="135"/>
    </row>
    <row r="557" spans="5:6" ht="15.75" customHeight="1">
      <c r="E557" s="135"/>
      <c r="F557" s="135"/>
    </row>
    <row r="558" spans="5:6" ht="15.75" customHeight="1">
      <c r="E558" s="135"/>
      <c r="F558" s="135"/>
    </row>
    <row r="559" spans="5:6" ht="15.75" customHeight="1">
      <c r="E559" s="135"/>
      <c r="F559" s="135"/>
    </row>
    <row r="560" spans="5:6" ht="15.75" customHeight="1">
      <c r="E560" s="135"/>
      <c r="F560" s="135"/>
    </row>
    <row r="561" spans="5:6" ht="15.75" customHeight="1">
      <c r="E561" s="135"/>
      <c r="F561" s="135"/>
    </row>
    <row r="562" spans="5:6" ht="15.75" customHeight="1">
      <c r="E562" s="135"/>
      <c r="F562" s="135"/>
    </row>
    <row r="563" spans="5:6" ht="15.75" customHeight="1">
      <c r="E563" s="135"/>
      <c r="F563" s="135"/>
    </row>
    <row r="564" spans="5:6" ht="15.75" customHeight="1">
      <c r="E564" s="135"/>
      <c r="F564" s="135"/>
    </row>
    <row r="565" spans="5:6" ht="15.75" customHeight="1">
      <c r="E565" s="135"/>
      <c r="F565" s="135"/>
    </row>
    <row r="566" spans="5:6" ht="15.75" customHeight="1">
      <c r="E566" s="135"/>
      <c r="F566" s="135"/>
    </row>
    <row r="567" spans="5:6" ht="15.75" customHeight="1">
      <c r="E567" s="135"/>
      <c r="F567" s="135"/>
    </row>
    <row r="568" spans="5:6" ht="15.75" customHeight="1">
      <c r="E568" s="135"/>
      <c r="F568" s="135"/>
    </row>
    <row r="569" spans="5:6" ht="15.75" customHeight="1">
      <c r="E569" s="135"/>
      <c r="F569" s="135"/>
    </row>
    <row r="570" spans="5:6" ht="15.75" customHeight="1">
      <c r="E570" s="135"/>
      <c r="F570" s="135"/>
    </row>
    <row r="571" spans="5:6" ht="15.75" customHeight="1">
      <c r="E571" s="135"/>
      <c r="F571" s="135"/>
    </row>
    <row r="572" spans="5:6" ht="15.75" customHeight="1">
      <c r="E572" s="135"/>
      <c r="F572" s="135"/>
    </row>
    <row r="573" spans="5:6" ht="15.75" customHeight="1">
      <c r="E573" s="135"/>
      <c r="F573" s="135"/>
    </row>
    <row r="574" spans="5:6" ht="15.75" customHeight="1">
      <c r="E574" s="135"/>
      <c r="F574" s="135"/>
    </row>
    <row r="575" spans="5:6" ht="15.75" customHeight="1">
      <c r="E575" s="135"/>
      <c r="F575" s="135"/>
    </row>
    <row r="576" spans="5:6" ht="15.75" customHeight="1">
      <c r="E576" s="135"/>
      <c r="F576" s="135"/>
    </row>
    <row r="577" spans="5:6" ht="15.75" customHeight="1">
      <c r="E577" s="135"/>
      <c r="F577" s="135"/>
    </row>
    <row r="578" spans="5:6" ht="15.75" customHeight="1">
      <c r="E578" s="135"/>
      <c r="F578" s="135"/>
    </row>
    <row r="579" spans="5:6" ht="15.75" customHeight="1">
      <c r="E579" s="135"/>
      <c r="F579" s="135"/>
    </row>
    <row r="580" spans="5:6" ht="15.75" customHeight="1">
      <c r="E580" s="135"/>
      <c r="F580" s="135"/>
    </row>
    <row r="581" spans="5:6" ht="15.75" customHeight="1">
      <c r="E581" s="135"/>
      <c r="F581" s="135"/>
    </row>
    <row r="582" spans="5:6" ht="15.75" customHeight="1">
      <c r="E582" s="135"/>
      <c r="F582" s="135"/>
    </row>
    <row r="583" spans="5:6" ht="15.75" customHeight="1">
      <c r="E583" s="135"/>
      <c r="F583" s="135"/>
    </row>
    <row r="584" spans="5:6" ht="15.75" customHeight="1">
      <c r="E584" s="135"/>
      <c r="F584" s="135"/>
    </row>
    <row r="585" spans="5:6" ht="15.75" customHeight="1">
      <c r="E585" s="135"/>
      <c r="F585" s="135"/>
    </row>
    <row r="586" spans="5:6" ht="15.75" customHeight="1">
      <c r="E586" s="135"/>
      <c r="F586" s="135"/>
    </row>
    <row r="587" spans="5:6" ht="15.75" customHeight="1">
      <c r="E587" s="135"/>
      <c r="F587" s="135"/>
    </row>
    <row r="588" spans="5:6" ht="15.75" customHeight="1">
      <c r="E588" s="135"/>
      <c r="F588" s="135"/>
    </row>
    <row r="589" spans="5:6" ht="15.75" customHeight="1">
      <c r="E589" s="135"/>
      <c r="F589" s="135"/>
    </row>
    <row r="590" spans="5:6" ht="15.75" customHeight="1">
      <c r="E590" s="135"/>
      <c r="F590" s="135"/>
    </row>
    <row r="591" spans="5:6" ht="15.75" customHeight="1">
      <c r="E591" s="135"/>
      <c r="F591" s="135"/>
    </row>
    <row r="592" spans="5:6" ht="15.75" customHeight="1">
      <c r="E592" s="135"/>
      <c r="F592" s="135"/>
    </row>
    <row r="593" spans="5:6" ht="15.75" customHeight="1">
      <c r="E593" s="135"/>
      <c r="F593" s="135"/>
    </row>
    <row r="594" spans="5:6" ht="15.75" customHeight="1">
      <c r="E594" s="135"/>
      <c r="F594" s="135"/>
    </row>
    <row r="595" spans="5:6" ht="15.75" customHeight="1">
      <c r="E595" s="135"/>
      <c r="F595" s="135"/>
    </row>
    <row r="596" spans="5:6" ht="15.75" customHeight="1">
      <c r="E596" s="135"/>
      <c r="F596" s="135"/>
    </row>
    <row r="597" spans="5:6" ht="15.75" customHeight="1">
      <c r="E597" s="135"/>
      <c r="F597" s="135"/>
    </row>
    <row r="598" spans="5:6" ht="15.75" customHeight="1">
      <c r="E598" s="135"/>
      <c r="F598" s="135"/>
    </row>
    <row r="599" spans="5:6" ht="15.75" customHeight="1">
      <c r="E599" s="135"/>
      <c r="F599" s="135"/>
    </row>
    <row r="600" spans="5:6" ht="15.75" customHeight="1">
      <c r="E600" s="135"/>
      <c r="F600" s="135"/>
    </row>
    <row r="601" spans="5:6" ht="15.75" customHeight="1">
      <c r="E601" s="135"/>
      <c r="F601" s="135"/>
    </row>
    <row r="602" spans="5:6" ht="15.75" customHeight="1">
      <c r="E602" s="135"/>
      <c r="F602" s="135"/>
    </row>
    <row r="603" spans="5:6" ht="15.75" customHeight="1">
      <c r="E603" s="135"/>
      <c r="F603" s="135"/>
    </row>
    <row r="604" spans="5:6" ht="15.75" customHeight="1">
      <c r="E604" s="135"/>
      <c r="F604" s="135"/>
    </row>
    <row r="605" spans="5:6" ht="15.75" customHeight="1">
      <c r="E605" s="135"/>
      <c r="F605" s="135"/>
    </row>
    <row r="606" spans="5:6" ht="15.75" customHeight="1">
      <c r="E606" s="135"/>
      <c r="F606" s="135"/>
    </row>
    <row r="607" spans="5:6" ht="15.75" customHeight="1">
      <c r="E607" s="135"/>
      <c r="F607" s="135"/>
    </row>
    <row r="608" spans="5:6" ht="15.75" customHeight="1">
      <c r="E608" s="135"/>
      <c r="F608" s="135"/>
    </row>
    <row r="609" spans="5:6" ht="15.75" customHeight="1">
      <c r="E609" s="135"/>
      <c r="F609" s="135"/>
    </row>
    <row r="610" spans="5:6" ht="15.75" customHeight="1">
      <c r="E610" s="135"/>
      <c r="F610" s="135"/>
    </row>
    <row r="611" spans="5:6" ht="15.75" customHeight="1">
      <c r="E611" s="135"/>
      <c r="F611" s="135"/>
    </row>
    <row r="612" spans="5:6" ht="15.75" customHeight="1">
      <c r="E612" s="135"/>
      <c r="F612" s="135"/>
    </row>
    <row r="613" spans="5:6" ht="15.75" customHeight="1">
      <c r="E613" s="135"/>
      <c r="F613" s="135"/>
    </row>
    <row r="614" spans="5:6" ht="15.75" customHeight="1">
      <c r="E614" s="135"/>
      <c r="F614" s="135"/>
    </row>
    <row r="615" spans="5:6" ht="15.75" customHeight="1">
      <c r="E615" s="135"/>
      <c r="F615" s="135"/>
    </row>
    <row r="616" spans="5:6" ht="15.75" customHeight="1">
      <c r="E616" s="135"/>
      <c r="F616" s="135"/>
    </row>
    <row r="617" spans="5:6" ht="15.75" customHeight="1">
      <c r="E617" s="135"/>
      <c r="F617" s="135"/>
    </row>
    <row r="618" spans="5:6" ht="15.75" customHeight="1">
      <c r="E618" s="135"/>
      <c r="F618" s="135"/>
    </row>
    <row r="619" spans="5:6" ht="15.75" customHeight="1">
      <c r="E619" s="135"/>
      <c r="F619" s="135"/>
    </row>
    <row r="620" spans="5:6" ht="15.75" customHeight="1">
      <c r="E620" s="135"/>
      <c r="F620" s="135"/>
    </row>
    <row r="621" spans="5:6" ht="15.75" customHeight="1">
      <c r="E621" s="135"/>
      <c r="F621" s="135"/>
    </row>
    <row r="622" spans="5:6" ht="15.75" customHeight="1">
      <c r="E622" s="135"/>
      <c r="F622" s="135"/>
    </row>
    <row r="623" spans="5:6" ht="15.75" customHeight="1">
      <c r="E623" s="135"/>
      <c r="F623" s="135"/>
    </row>
    <row r="624" spans="5:6" ht="15.75" customHeight="1">
      <c r="E624" s="135"/>
      <c r="F624" s="135"/>
    </row>
    <row r="625" spans="5:6" ht="15.75" customHeight="1">
      <c r="E625" s="135"/>
      <c r="F625" s="135"/>
    </row>
    <row r="626" spans="5:6" ht="15.75" customHeight="1">
      <c r="E626" s="135"/>
      <c r="F626" s="135"/>
    </row>
    <row r="627" spans="5:6" ht="15.75" customHeight="1">
      <c r="E627" s="135"/>
      <c r="F627" s="135"/>
    </row>
    <row r="628" spans="5:6" ht="15.75" customHeight="1">
      <c r="E628" s="135"/>
      <c r="F628" s="135"/>
    </row>
    <row r="629" spans="5:6" ht="15.75" customHeight="1">
      <c r="E629" s="135"/>
      <c r="F629" s="135"/>
    </row>
    <row r="630" spans="5:6" ht="15.75" customHeight="1">
      <c r="E630" s="135"/>
      <c r="F630" s="135"/>
    </row>
    <row r="631" spans="5:6" ht="15.75" customHeight="1">
      <c r="E631" s="135"/>
      <c r="F631" s="135"/>
    </row>
    <row r="632" spans="5:6" ht="15.75" customHeight="1">
      <c r="E632" s="135"/>
      <c r="F632" s="135"/>
    </row>
    <row r="633" spans="5:6" ht="15.75" customHeight="1">
      <c r="E633" s="135"/>
      <c r="F633" s="135"/>
    </row>
    <row r="634" spans="5:6" ht="15.75" customHeight="1">
      <c r="E634" s="135"/>
      <c r="F634" s="135"/>
    </row>
    <row r="635" spans="5:6" ht="15.75" customHeight="1">
      <c r="E635" s="135"/>
      <c r="F635" s="135"/>
    </row>
    <row r="636" spans="5:6" ht="15.75" customHeight="1">
      <c r="E636" s="135"/>
      <c r="F636" s="135"/>
    </row>
    <row r="637" spans="5:6" ht="15.75" customHeight="1">
      <c r="E637" s="135"/>
      <c r="F637" s="135"/>
    </row>
    <row r="638" spans="5:6" ht="15.75" customHeight="1">
      <c r="E638" s="135"/>
      <c r="F638" s="135"/>
    </row>
    <row r="639" spans="5:6" ht="15.75" customHeight="1">
      <c r="E639" s="135"/>
      <c r="F639" s="135"/>
    </row>
    <row r="640" spans="5:6" ht="15.75" customHeight="1">
      <c r="E640" s="135"/>
      <c r="F640" s="135"/>
    </row>
    <row r="641" spans="5:6" ht="15.75" customHeight="1">
      <c r="E641" s="135"/>
      <c r="F641" s="135"/>
    </row>
    <row r="642" spans="5:6" ht="15.75" customHeight="1">
      <c r="E642" s="135"/>
      <c r="F642" s="135"/>
    </row>
    <row r="643" spans="5:6" ht="15.75" customHeight="1">
      <c r="E643" s="135"/>
      <c r="F643" s="135"/>
    </row>
    <row r="644" spans="5:6" ht="15.75" customHeight="1">
      <c r="E644" s="135"/>
      <c r="F644" s="135"/>
    </row>
    <row r="645" spans="5:6" ht="15.75" customHeight="1">
      <c r="E645" s="135"/>
      <c r="F645" s="135"/>
    </row>
    <row r="646" spans="5:6" ht="15.75" customHeight="1">
      <c r="E646" s="135"/>
      <c r="F646" s="135"/>
    </row>
    <row r="647" spans="5:6" ht="15.75" customHeight="1">
      <c r="E647" s="135"/>
      <c r="F647" s="135"/>
    </row>
    <row r="648" spans="5:6" ht="15.75" customHeight="1">
      <c r="E648" s="135"/>
      <c r="F648" s="135"/>
    </row>
    <row r="649" spans="5:6" ht="15.75" customHeight="1">
      <c r="E649" s="135"/>
      <c r="F649" s="135"/>
    </row>
    <row r="650" spans="5:6" ht="15.75" customHeight="1">
      <c r="E650" s="135"/>
      <c r="F650" s="135"/>
    </row>
    <row r="651" spans="5:6" ht="15.75" customHeight="1">
      <c r="E651" s="135"/>
      <c r="F651" s="135"/>
    </row>
    <row r="652" spans="5:6" ht="15.75" customHeight="1">
      <c r="E652" s="135"/>
      <c r="F652" s="135"/>
    </row>
    <row r="653" spans="5:6" ht="15.75" customHeight="1">
      <c r="E653" s="135"/>
      <c r="F653" s="135"/>
    </row>
    <row r="654" spans="5:6" ht="15.75" customHeight="1">
      <c r="E654" s="135"/>
      <c r="F654" s="135"/>
    </row>
    <row r="655" spans="5:6" ht="15.75" customHeight="1">
      <c r="E655" s="135"/>
      <c r="F655" s="135"/>
    </row>
    <row r="656" spans="5:6" ht="15.75" customHeight="1">
      <c r="E656" s="135"/>
      <c r="F656" s="135"/>
    </row>
    <row r="657" spans="5:6" ht="15.75" customHeight="1">
      <c r="E657" s="135"/>
      <c r="F657" s="135"/>
    </row>
    <row r="658" spans="5:6" ht="15.75" customHeight="1">
      <c r="E658" s="135"/>
      <c r="F658" s="135"/>
    </row>
    <row r="659" spans="5:6" ht="15.75" customHeight="1">
      <c r="E659" s="135"/>
      <c r="F659" s="135"/>
    </row>
    <row r="660" spans="5:6" ht="15.75" customHeight="1">
      <c r="E660" s="135"/>
      <c r="F660" s="135"/>
    </row>
    <row r="661" spans="5:6" ht="15.75" customHeight="1">
      <c r="E661" s="135"/>
      <c r="F661" s="135"/>
    </row>
    <row r="662" spans="5:6" ht="15.75" customHeight="1">
      <c r="E662" s="135"/>
      <c r="F662" s="135"/>
    </row>
    <row r="663" spans="5:6" ht="15.75" customHeight="1">
      <c r="E663" s="135"/>
      <c r="F663" s="135"/>
    </row>
    <row r="664" spans="5:6" ht="15.75" customHeight="1">
      <c r="E664" s="135"/>
      <c r="F664" s="135"/>
    </row>
    <row r="665" spans="5:6" ht="15.75" customHeight="1">
      <c r="E665" s="135"/>
      <c r="F665" s="135"/>
    </row>
    <row r="666" spans="5:6" ht="15.75" customHeight="1">
      <c r="E666" s="135"/>
      <c r="F666" s="135"/>
    </row>
    <row r="667" spans="5:6" ht="15.75" customHeight="1">
      <c r="E667" s="135"/>
      <c r="F667" s="135"/>
    </row>
    <row r="668" spans="5:6" ht="15.75" customHeight="1">
      <c r="E668" s="135"/>
      <c r="F668" s="135"/>
    </row>
    <row r="669" spans="5:6" ht="15.75" customHeight="1">
      <c r="E669" s="135"/>
      <c r="F669" s="135"/>
    </row>
    <row r="670" spans="5:6" ht="15.75" customHeight="1">
      <c r="E670" s="135"/>
      <c r="F670" s="135"/>
    </row>
    <row r="671" spans="5:6" ht="15.75" customHeight="1">
      <c r="E671" s="135"/>
      <c r="F671" s="135"/>
    </row>
    <row r="672" spans="5:6" ht="15.75" customHeight="1">
      <c r="E672" s="135"/>
      <c r="F672" s="135"/>
    </row>
    <row r="673" spans="5:6" ht="15.75" customHeight="1">
      <c r="E673" s="135"/>
      <c r="F673" s="135"/>
    </row>
    <row r="674" spans="5:6" ht="15.75" customHeight="1">
      <c r="E674" s="135"/>
      <c r="F674" s="135"/>
    </row>
    <row r="675" spans="5:6" ht="15.75" customHeight="1">
      <c r="E675" s="135"/>
      <c r="F675" s="135"/>
    </row>
    <row r="676" spans="5:6" ht="15.75" customHeight="1">
      <c r="E676" s="135"/>
      <c r="F676" s="135"/>
    </row>
    <row r="677" spans="5:6" ht="15.75" customHeight="1">
      <c r="E677" s="135"/>
      <c r="F677" s="135"/>
    </row>
    <row r="678" spans="5:6" ht="15.75" customHeight="1">
      <c r="E678" s="135"/>
      <c r="F678" s="135"/>
    </row>
    <row r="679" spans="5:6" ht="15.75" customHeight="1">
      <c r="E679" s="135"/>
      <c r="F679" s="135"/>
    </row>
    <row r="680" spans="5:6" ht="15.75" customHeight="1">
      <c r="E680" s="135"/>
      <c r="F680" s="135"/>
    </row>
    <row r="681" spans="5:6" ht="15.75" customHeight="1">
      <c r="E681" s="135"/>
      <c r="F681" s="135"/>
    </row>
    <row r="682" spans="5:6" ht="15.75" customHeight="1">
      <c r="E682" s="135"/>
      <c r="F682" s="135"/>
    </row>
    <row r="683" spans="5:6" ht="15.75" customHeight="1">
      <c r="E683" s="135"/>
      <c r="F683" s="135"/>
    </row>
    <row r="684" spans="5:6" ht="15.75" customHeight="1">
      <c r="E684" s="135"/>
      <c r="F684" s="135"/>
    </row>
    <row r="685" spans="5:6" ht="15.75" customHeight="1">
      <c r="E685" s="135"/>
      <c r="F685" s="135"/>
    </row>
    <row r="686" spans="5:6" ht="15.75" customHeight="1">
      <c r="E686" s="135"/>
      <c r="F686" s="135"/>
    </row>
    <row r="687" spans="5:6" ht="15.75" customHeight="1">
      <c r="E687" s="135"/>
      <c r="F687" s="135"/>
    </row>
    <row r="688" spans="5:6" ht="15.75" customHeight="1">
      <c r="E688" s="135"/>
      <c r="F688" s="135"/>
    </row>
    <row r="689" spans="5:6" ht="15.75" customHeight="1">
      <c r="E689" s="135"/>
      <c r="F689" s="135"/>
    </row>
    <row r="690" spans="5:6" ht="15.75" customHeight="1">
      <c r="E690" s="135"/>
      <c r="F690" s="135"/>
    </row>
    <row r="691" spans="5:6" ht="15.75" customHeight="1">
      <c r="E691" s="135"/>
      <c r="F691" s="135"/>
    </row>
    <row r="692" spans="5:6" ht="15.75" customHeight="1">
      <c r="E692" s="135"/>
      <c r="F692" s="135"/>
    </row>
    <row r="693" spans="5:6" ht="15.75" customHeight="1">
      <c r="E693" s="135"/>
      <c r="F693" s="135"/>
    </row>
    <row r="694" spans="5:6" ht="15.75" customHeight="1">
      <c r="E694" s="135"/>
      <c r="F694" s="135"/>
    </row>
    <row r="695" spans="5:6" ht="15.75" customHeight="1">
      <c r="E695" s="135"/>
      <c r="F695" s="135"/>
    </row>
    <row r="696" spans="5:6" ht="15.75" customHeight="1">
      <c r="E696" s="135"/>
      <c r="F696" s="135"/>
    </row>
    <row r="697" spans="5:6" ht="15.75" customHeight="1">
      <c r="E697" s="135"/>
      <c r="F697" s="135"/>
    </row>
    <row r="698" spans="5:6" ht="15.75" customHeight="1">
      <c r="E698" s="135"/>
      <c r="F698" s="135"/>
    </row>
    <row r="699" spans="5:6" ht="15.75" customHeight="1">
      <c r="E699" s="135"/>
      <c r="F699" s="135"/>
    </row>
    <row r="700" spans="5:6" ht="15.75" customHeight="1">
      <c r="E700" s="135"/>
      <c r="F700" s="135"/>
    </row>
    <row r="701" spans="5:6" ht="15.75" customHeight="1">
      <c r="E701" s="135"/>
      <c r="F701" s="135"/>
    </row>
    <row r="702" spans="5:6" ht="15.75" customHeight="1">
      <c r="E702" s="135"/>
      <c r="F702" s="135"/>
    </row>
    <row r="703" spans="5:6" ht="15.75" customHeight="1">
      <c r="E703" s="135"/>
      <c r="F703" s="135"/>
    </row>
    <row r="704" spans="5:6" ht="15.75" customHeight="1">
      <c r="E704" s="135"/>
      <c r="F704" s="135"/>
    </row>
    <row r="705" spans="5:6" ht="15.75" customHeight="1">
      <c r="E705" s="135"/>
      <c r="F705" s="135"/>
    </row>
    <row r="706" spans="5:6" ht="15.75" customHeight="1">
      <c r="E706" s="135"/>
      <c r="F706" s="135"/>
    </row>
    <row r="707" spans="5:6" ht="15.75" customHeight="1">
      <c r="E707" s="135"/>
      <c r="F707" s="135"/>
    </row>
    <row r="708" spans="5:6" ht="15.75" customHeight="1">
      <c r="E708" s="135"/>
      <c r="F708" s="135"/>
    </row>
    <row r="709" spans="5:6" ht="15.75" customHeight="1">
      <c r="E709" s="135"/>
      <c r="F709" s="135"/>
    </row>
    <row r="710" spans="5:6" ht="15.75" customHeight="1">
      <c r="E710" s="135"/>
      <c r="F710" s="135"/>
    </row>
    <row r="711" spans="5:6" ht="15.75" customHeight="1">
      <c r="E711" s="135"/>
      <c r="F711" s="135"/>
    </row>
    <row r="712" spans="5:6" ht="15.75" customHeight="1">
      <c r="E712" s="135"/>
      <c r="F712" s="135"/>
    </row>
    <row r="713" spans="5:6" ht="15.75" customHeight="1">
      <c r="E713" s="135"/>
      <c r="F713" s="135"/>
    </row>
    <row r="714" spans="5:6" ht="15.75" customHeight="1">
      <c r="E714" s="135"/>
      <c r="F714" s="135"/>
    </row>
    <row r="715" spans="5:6" ht="15.75" customHeight="1">
      <c r="E715" s="135"/>
      <c r="F715" s="135"/>
    </row>
    <row r="716" spans="5:6" ht="15.75" customHeight="1">
      <c r="E716" s="135"/>
      <c r="F716" s="135"/>
    </row>
    <row r="717" spans="5:6" ht="15.75" customHeight="1">
      <c r="E717" s="135"/>
      <c r="F717" s="135"/>
    </row>
    <row r="718" spans="5:6" ht="15.75" customHeight="1">
      <c r="E718" s="135"/>
      <c r="F718" s="135"/>
    </row>
    <row r="719" spans="5:6" ht="15.75" customHeight="1">
      <c r="E719" s="135"/>
      <c r="F719" s="135"/>
    </row>
    <row r="720" spans="5:6" ht="15.75" customHeight="1">
      <c r="E720" s="135"/>
      <c r="F720" s="135"/>
    </row>
    <row r="721" spans="5:6" ht="15.75" customHeight="1">
      <c r="E721" s="135"/>
      <c r="F721" s="135"/>
    </row>
    <row r="722" spans="5:6" ht="15.75" customHeight="1">
      <c r="E722" s="135"/>
      <c r="F722" s="135"/>
    </row>
    <row r="723" spans="5:6" ht="15.75" customHeight="1">
      <c r="E723" s="135"/>
      <c r="F723" s="135"/>
    </row>
    <row r="724" spans="5:6" ht="15.75" customHeight="1">
      <c r="E724" s="135"/>
      <c r="F724" s="135"/>
    </row>
    <row r="725" spans="5:6" ht="15.75" customHeight="1">
      <c r="E725" s="135"/>
      <c r="F725" s="135"/>
    </row>
    <row r="726" spans="5:6" ht="15.75" customHeight="1">
      <c r="E726" s="135"/>
      <c r="F726" s="135"/>
    </row>
    <row r="727" spans="5:6" ht="15.75" customHeight="1">
      <c r="E727" s="135"/>
      <c r="F727" s="135"/>
    </row>
    <row r="728" spans="5:6" ht="15.75" customHeight="1">
      <c r="E728" s="135"/>
      <c r="F728" s="135"/>
    </row>
    <row r="729" spans="5:6" ht="15.75" customHeight="1">
      <c r="E729" s="135"/>
      <c r="F729" s="135"/>
    </row>
    <row r="730" spans="5:6" ht="15.75" customHeight="1">
      <c r="E730" s="135"/>
      <c r="F730" s="135"/>
    </row>
    <row r="731" spans="5:6" ht="15.75" customHeight="1">
      <c r="E731" s="135"/>
      <c r="F731" s="135"/>
    </row>
    <row r="732" spans="5:6" ht="15.75" customHeight="1">
      <c r="E732" s="135"/>
      <c r="F732" s="135"/>
    </row>
    <row r="733" spans="5:6" ht="15.75" customHeight="1">
      <c r="E733" s="135"/>
      <c r="F733" s="135"/>
    </row>
    <row r="734" spans="5:6" ht="15.75" customHeight="1">
      <c r="E734" s="135"/>
      <c r="F734" s="135"/>
    </row>
    <row r="735" spans="5:6" ht="15.75" customHeight="1">
      <c r="E735" s="135"/>
      <c r="F735" s="135"/>
    </row>
    <row r="736" spans="5:6" ht="15.75" customHeight="1">
      <c r="E736" s="135"/>
      <c r="F736" s="135"/>
    </row>
    <row r="737" spans="5:6" ht="15.75" customHeight="1">
      <c r="E737" s="135"/>
      <c r="F737" s="135"/>
    </row>
    <row r="738" spans="5:6" ht="15.75" customHeight="1">
      <c r="E738" s="135"/>
      <c r="F738" s="135"/>
    </row>
    <row r="739" spans="5:6" ht="15.75" customHeight="1">
      <c r="E739" s="135"/>
      <c r="F739" s="135"/>
    </row>
    <row r="740" spans="5:6" ht="15.75" customHeight="1">
      <c r="E740" s="135"/>
      <c r="F740" s="135"/>
    </row>
    <row r="741" spans="5:6" ht="15.75" customHeight="1">
      <c r="E741" s="135"/>
      <c r="F741" s="135"/>
    </row>
    <row r="742" spans="5:6" ht="15.75" customHeight="1">
      <c r="E742" s="135"/>
      <c r="F742" s="135"/>
    </row>
    <row r="743" spans="5:6" ht="15.75" customHeight="1">
      <c r="E743" s="135"/>
      <c r="F743" s="135"/>
    </row>
    <row r="744" spans="5:6" ht="15.75" customHeight="1">
      <c r="E744" s="135"/>
      <c r="F744" s="135"/>
    </row>
    <row r="745" spans="5:6" ht="15.75" customHeight="1">
      <c r="E745" s="135"/>
      <c r="F745" s="135"/>
    </row>
    <row r="746" spans="5:6" ht="15.75" customHeight="1">
      <c r="E746" s="135"/>
      <c r="F746" s="135"/>
    </row>
    <row r="747" spans="5:6" ht="15.75" customHeight="1">
      <c r="E747" s="135"/>
      <c r="F747" s="135"/>
    </row>
    <row r="748" spans="5:6" ht="15.75" customHeight="1">
      <c r="E748" s="135"/>
      <c r="F748" s="135"/>
    </row>
    <row r="749" spans="5:6" ht="15.75" customHeight="1">
      <c r="E749" s="135"/>
      <c r="F749" s="135"/>
    </row>
    <row r="750" spans="5:6" ht="15.75" customHeight="1">
      <c r="E750" s="135"/>
      <c r="F750" s="135"/>
    </row>
    <row r="751" spans="5:6" ht="15.75" customHeight="1">
      <c r="E751" s="135"/>
      <c r="F751" s="135"/>
    </row>
    <row r="752" spans="5:6" ht="15.75" customHeight="1">
      <c r="E752" s="135"/>
      <c r="F752" s="135"/>
    </row>
    <row r="753" spans="5:6" ht="15.75" customHeight="1">
      <c r="E753" s="135"/>
      <c r="F753" s="135"/>
    </row>
    <row r="754" spans="5:6" ht="15.75" customHeight="1">
      <c r="E754" s="135"/>
      <c r="F754" s="135"/>
    </row>
    <row r="755" spans="5:6" ht="15.75" customHeight="1">
      <c r="E755" s="135"/>
      <c r="F755" s="135"/>
    </row>
    <row r="756" spans="5:6" ht="15.75" customHeight="1">
      <c r="E756" s="135"/>
      <c r="F756" s="135"/>
    </row>
    <row r="757" spans="5:6" ht="15.75" customHeight="1">
      <c r="E757" s="135"/>
      <c r="F757" s="135"/>
    </row>
    <row r="758" spans="5:6" ht="15.75" customHeight="1">
      <c r="E758" s="135"/>
      <c r="F758" s="135"/>
    </row>
    <row r="759" spans="5:6" ht="15.75" customHeight="1">
      <c r="E759" s="135"/>
      <c r="F759" s="135"/>
    </row>
    <row r="760" spans="5:6" ht="15.75" customHeight="1">
      <c r="E760" s="135"/>
      <c r="F760" s="135"/>
    </row>
    <row r="761" spans="5:6" ht="15.75" customHeight="1">
      <c r="E761" s="135"/>
      <c r="F761" s="135"/>
    </row>
    <row r="762" spans="5:6" ht="15.75" customHeight="1">
      <c r="E762" s="135"/>
      <c r="F762" s="135"/>
    </row>
    <row r="763" spans="5:6" ht="15.75" customHeight="1">
      <c r="E763" s="135"/>
      <c r="F763" s="135"/>
    </row>
    <row r="764" spans="5:6" ht="15.75" customHeight="1">
      <c r="E764" s="135"/>
      <c r="F764" s="135"/>
    </row>
    <row r="765" spans="5:6" ht="15.75" customHeight="1">
      <c r="E765" s="135"/>
      <c r="F765" s="135"/>
    </row>
    <row r="766" spans="5:6" ht="15.75" customHeight="1">
      <c r="E766" s="135"/>
      <c r="F766" s="135"/>
    </row>
    <row r="767" spans="5:6" ht="15.75" customHeight="1">
      <c r="E767" s="135"/>
      <c r="F767" s="135"/>
    </row>
    <row r="768" spans="5:6" ht="15.75" customHeight="1">
      <c r="E768" s="135"/>
      <c r="F768" s="135"/>
    </row>
    <row r="769" spans="5:6" ht="15.75" customHeight="1">
      <c r="E769" s="135"/>
      <c r="F769" s="135"/>
    </row>
    <row r="770" spans="5:6" ht="15.75" customHeight="1">
      <c r="E770" s="135"/>
      <c r="F770" s="135"/>
    </row>
    <row r="771" spans="5:6" ht="15.75" customHeight="1">
      <c r="E771" s="135"/>
      <c r="F771" s="135"/>
    </row>
    <row r="772" spans="5:6" ht="15.75" customHeight="1">
      <c r="E772" s="135"/>
      <c r="F772" s="135"/>
    </row>
    <row r="773" spans="5:6" ht="15.75" customHeight="1">
      <c r="E773" s="135"/>
      <c r="F773" s="135"/>
    </row>
    <row r="774" spans="5:6" ht="15.75" customHeight="1">
      <c r="E774" s="135"/>
      <c r="F774" s="135"/>
    </row>
    <row r="775" spans="5:6" ht="15.75" customHeight="1">
      <c r="E775" s="135"/>
      <c r="F775" s="135"/>
    </row>
    <row r="776" spans="5:6" ht="15.75" customHeight="1">
      <c r="E776" s="135"/>
      <c r="F776" s="135"/>
    </row>
    <row r="777" spans="5:6" ht="15.75" customHeight="1">
      <c r="E777" s="135"/>
      <c r="F777" s="135"/>
    </row>
    <row r="778" spans="5:6" ht="15.75" customHeight="1">
      <c r="E778" s="135"/>
      <c r="F778" s="135"/>
    </row>
    <row r="779" spans="5:6" ht="15.75" customHeight="1">
      <c r="E779" s="135"/>
      <c r="F779" s="135"/>
    </row>
    <row r="780" spans="5:6" ht="15.75" customHeight="1">
      <c r="E780" s="135"/>
      <c r="F780" s="135"/>
    </row>
    <row r="781" spans="5:6" ht="15.75" customHeight="1">
      <c r="E781" s="135"/>
      <c r="F781" s="135"/>
    </row>
    <row r="782" spans="5:6" ht="15.75" customHeight="1">
      <c r="E782" s="135"/>
      <c r="F782" s="135"/>
    </row>
    <row r="783" spans="5:6" ht="15.75" customHeight="1">
      <c r="E783" s="135"/>
      <c r="F783" s="135"/>
    </row>
    <row r="784" spans="5:6" ht="15.75" customHeight="1">
      <c r="E784" s="135"/>
      <c r="F784" s="135"/>
    </row>
    <row r="785" spans="5:6" ht="15.75" customHeight="1">
      <c r="E785" s="135"/>
      <c r="F785" s="135"/>
    </row>
    <row r="786" spans="5:6" ht="15.75" customHeight="1">
      <c r="E786" s="135"/>
      <c r="F786" s="135"/>
    </row>
    <row r="787" spans="5:6" ht="15.75" customHeight="1">
      <c r="E787" s="135"/>
      <c r="F787" s="135"/>
    </row>
    <row r="788" spans="5:6" ht="15.75" customHeight="1">
      <c r="E788" s="135"/>
      <c r="F788" s="135"/>
    </row>
    <row r="789" spans="5:6" ht="15.75" customHeight="1">
      <c r="E789" s="135"/>
      <c r="F789" s="135"/>
    </row>
    <row r="790" spans="5:6" ht="15.75" customHeight="1">
      <c r="E790" s="135"/>
      <c r="F790" s="135"/>
    </row>
    <row r="791" spans="5:6" ht="15.75" customHeight="1">
      <c r="E791" s="135"/>
      <c r="F791" s="135"/>
    </row>
    <row r="792" spans="5:6" ht="15.75" customHeight="1">
      <c r="E792" s="135"/>
      <c r="F792" s="135"/>
    </row>
    <row r="793" spans="5:6" ht="15.75" customHeight="1">
      <c r="E793" s="135"/>
      <c r="F793" s="135"/>
    </row>
    <row r="794" spans="5:6" ht="15.75" customHeight="1">
      <c r="E794" s="135"/>
      <c r="F794" s="135"/>
    </row>
    <row r="795" spans="5:6" ht="15.75" customHeight="1">
      <c r="E795" s="135"/>
      <c r="F795" s="135"/>
    </row>
    <row r="796" spans="5:6" ht="15.75" customHeight="1">
      <c r="E796" s="135"/>
      <c r="F796" s="135"/>
    </row>
    <row r="797" spans="5:6" ht="15.75" customHeight="1">
      <c r="E797" s="135"/>
      <c r="F797" s="135"/>
    </row>
    <row r="798" spans="5:6" ht="15.75" customHeight="1">
      <c r="E798" s="135"/>
      <c r="F798" s="135"/>
    </row>
    <row r="799" spans="5:6" ht="15.75" customHeight="1">
      <c r="E799" s="135"/>
      <c r="F799" s="135"/>
    </row>
    <row r="800" spans="5:6" ht="15.75" customHeight="1">
      <c r="E800" s="135"/>
      <c r="F800" s="135"/>
    </row>
    <row r="801" spans="5:6" ht="15.75" customHeight="1">
      <c r="E801" s="135"/>
      <c r="F801" s="135"/>
    </row>
    <row r="802" spans="5:6" ht="15.75" customHeight="1">
      <c r="E802" s="135"/>
      <c r="F802" s="135"/>
    </row>
    <row r="803" spans="5:6" ht="15.75" customHeight="1">
      <c r="E803" s="135"/>
      <c r="F803" s="135"/>
    </row>
    <row r="804" spans="5:6" ht="15.75" customHeight="1">
      <c r="E804" s="135"/>
      <c r="F804" s="135"/>
    </row>
    <row r="805" spans="5:6" ht="15.75" customHeight="1">
      <c r="E805" s="135"/>
      <c r="F805" s="135"/>
    </row>
    <row r="806" spans="5:6" ht="15.75" customHeight="1">
      <c r="E806" s="135"/>
      <c r="F806" s="135"/>
    </row>
    <row r="807" spans="5:6" ht="15.75" customHeight="1">
      <c r="E807" s="135"/>
      <c r="F807" s="135"/>
    </row>
    <row r="808" spans="5:6" ht="15.75" customHeight="1">
      <c r="E808" s="135"/>
      <c r="F808" s="135"/>
    </row>
    <row r="809" spans="5:6" ht="15.75" customHeight="1">
      <c r="E809" s="135"/>
      <c r="F809" s="135"/>
    </row>
    <row r="810" spans="5:6" ht="15.75" customHeight="1">
      <c r="E810" s="135"/>
      <c r="F810" s="135"/>
    </row>
    <row r="811" spans="5:6" ht="15.75" customHeight="1">
      <c r="E811" s="135"/>
      <c r="F811" s="135"/>
    </row>
    <row r="812" spans="5:6" ht="15.75" customHeight="1">
      <c r="E812" s="135"/>
      <c r="F812" s="135"/>
    </row>
    <row r="813" spans="5:6" ht="15.75" customHeight="1">
      <c r="E813" s="135"/>
      <c r="F813" s="135"/>
    </row>
    <row r="814" spans="5:6" ht="15.75" customHeight="1">
      <c r="E814" s="135"/>
      <c r="F814" s="135"/>
    </row>
    <row r="815" spans="5:6" ht="15.75" customHeight="1">
      <c r="E815" s="135"/>
      <c r="F815" s="135"/>
    </row>
    <row r="816" spans="5:6" ht="15.75" customHeight="1">
      <c r="E816" s="135"/>
      <c r="F816" s="135"/>
    </row>
    <row r="817" spans="5:6" ht="15.75" customHeight="1">
      <c r="E817" s="135"/>
      <c r="F817" s="135"/>
    </row>
    <row r="818" spans="5:6" ht="15.75" customHeight="1">
      <c r="E818" s="135"/>
      <c r="F818" s="135"/>
    </row>
    <row r="819" spans="5:6" ht="15.75" customHeight="1">
      <c r="E819" s="135"/>
      <c r="F819" s="135"/>
    </row>
    <row r="820" spans="5:6" ht="15.75" customHeight="1">
      <c r="E820" s="135"/>
      <c r="F820" s="135"/>
    </row>
    <row r="821" spans="5:6" ht="15.75" customHeight="1">
      <c r="E821" s="135"/>
      <c r="F821" s="135"/>
    </row>
    <row r="822" spans="5:6" ht="15.75" customHeight="1">
      <c r="E822" s="135"/>
      <c r="F822" s="135"/>
    </row>
    <row r="823" spans="5:6" ht="15.75" customHeight="1">
      <c r="E823" s="135"/>
      <c r="F823" s="135"/>
    </row>
    <row r="824" spans="5:6" ht="15.75" customHeight="1">
      <c r="E824" s="135"/>
      <c r="F824" s="135"/>
    </row>
    <row r="825" spans="5:6" ht="15.75" customHeight="1">
      <c r="E825" s="135"/>
      <c r="F825" s="135"/>
    </row>
    <row r="826" spans="5:6" ht="15.75" customHeight="1">
      <c r="E826" s="135"/>
      <c r="F826" s="135"/>
    </row>
    <row r="827" spans="5:6" ht="15.75" customHeight="1">
      <c r="E827" s="135"/>
      <c r="F827" s="135"/>
    </row>
    <row r="828" spans="5:6" ht="15.75" customHeight="1">
      <c r="E828" s="135"/>
      <c r="F828" s="135"/>
    </row>
    <row r="829" spans="5:6" ht="15.75" customHeight="1">
      <c r="E829" s="135"/>
      <c r="F829" s="135"/>
    </row>
    <row r="830" spans="5:6" ht="15.75" customHeight="1">
      <c r="E830" s="135"/>
      <c r="F830" s="135"/>
    </row>
    <row r="831" spans="5:6" ht="15.75" customHeight="1">
      <c r="E831" s="135"/>
      <c r="F831" s="135"/>
    </row>
    <row r="832" spans="5:6" ht="15.75" customHeight="1">
      <c r="E832" s="135"/>
      <c r="F832" s="135"/>
    </row>
    <row r="833" spans="5:6" ht="15.75" customHeight="1">
      <c r="E833" s="135"/>
      <c r="F833" s="135"/>
    </row>
    <row r="834" spans="5:6" ht="15.75" customHeight="1">
      <c r="E834" s="135"/>
      <c r="F834" s="135"/>
    </row>
    <row r="835" spans="5:6" ht="15.75" customHeight="1">
      <c r="E835" s="135"/>
      <c r="F835" s="135"/>
    </row>
    <row r="836" spans="5:6" ht="15.75" customHeight="1">
      <c r="E836" s="135"/>
      <c r="F836" s="135"/>
    </row>
    <row r="837" spans="5:6" ht="15.75" customHeight="1">
      <c r="E837" s="135"/>
      <c r="F837" s="135"/>
    </row>
    <row r="838" spans="5:6" ht="15.75" customHeight="1">
      <c r="E838" s="135"/>
      <c r="F838" s="135"/>
    </row>
    <row r="839" spans="5:6" ht="15.75" customHeight="1">
      <c r="E839" s="135"/>
      <c r="F839" s="135"/>
    </row>
    <row r="840" spans="5:6" ht="15.75" customHeight="1">
      <c r="E840" s="135"/>
      <c r="F840" s="135"/>
    </row>
    <row r="841" spans="5:6" ht="15.75" customHeight="1">
      <c r="E841" s="135"/>
      <c r="F841" s="135"/>
    </row>
    <row r="842" spans="5:6" ht="15.75" customHeight="1">
      <c r="E842" s="135"/>
      <c r="F842" s="135"/>
    </row>
    <row r="843" spans="5:6" ht="15.75" customHeight="1">
      <c r="E843" s="135"/>
      <c r="F843" s="135"/>
    </row>
    <row r="844" spans="5:6" ht="15.75" customHeight="1">
      <c r="E844" s="135"/>
      <c r="F844" s="135"/>
    </row>
    <row r="845" spans="5:6" ht="15.75" customHeight="1">
      <c r="E845" s="135"/>
      <c r="F845" s="135"/>
    </row>
    <row r="846" spans="5:6" ht="15.75" customHeight="1">
      <c r="E846" s="135"/>
      <c r="F846" s="135"/>
    </row>
    <row r="847" spans="5:6" ht="15.75" customHeight="1">
      <c r="E847" s="135"/>
      <c r="F847" s="135"/>
    </row>
    <row r="848" spans="5:6" ht="15.75" customHeight="1">
      <c r="E848" s="135"/>
      <c r="F848" s="135"/>
    </row>
    <row r="849" spans="5:6" ht="15.75" customHeight="1">
      <c r="E849" s="135"/>
      <c r="F849" s="135"/>
    </row>
    <row r="850" spans="5:6" ht="15.75" customHeight="1">
      <c r="E850" s="135"/>
      <c r="F850" s="135"/>
    </row>
    <row r="851" spans="5:6" ht="15.75" customHeight="1">
      <c r="E851" s="135"/>
      <c r="F851" s="135"/>
    </row>
    <row r="852" spans="5:6" ht="15.75" customHeight="1">
      <c r="E852" s="135"/>
      <c r="F852" s="135"/>
    </row>
    <row r="853" spans="5:6" ht="15.75" customHeight="1">
      <c r="E853" s="135"/>
      <c r="F853" s="135"/>
    </row>
    <row r="854" spans="5:6" ht="15.75" customHeight="1">
      <c r="E854" s="135"/>
      <c r="F854" s="135"/>
    </row>
    <row r="855" spans="5:6" ht="15.75" customHeight="1">
      <c r="E855" s="135"/>
      <c r="F855" s="135"/>
    </row>
    <row r="856" spans="5:6" ht="15.75" customHeight="1">
      <c r="E856" s="135"/>
      <c r="F856" s="135"/>
    </row>
    <row r="857" spans="5:6" ht="15.75" customHeight="1">
      <c r="E857" s="135"/>
      <c r="F857" s="135"/>
    </row>
    <row r="858" spans="5:6" ht="15.75" customHeight="1">
      <c r="E858" s="135"/>
      <c r="F858" s="135"/>
    </row>
    <row r="859" spans="5:6" ht="15.75" customHeight="1">
      <c r="E859" s="135"/>
      <c r="F859" s="135"/>
    </row>
    <row r="860" spans="5:6" ht="15.75" customHeight="1">
      <c r="E860" s="135"/>
      <c r="F860" s="135"/>
    </row>
    <row r="861" spans="5:6" ht="15.75" customHeight="1">
      <c r="E861" s="135"/>
      <c r="F861" s="135"/>
    </row>
    <row r="862" spans="5:6" ht="15.75" customHeight="1">
      <c r="E862" s="135"/>
      <c r="F862" s="135"/>
    </row>
    <row r="863" spans="5:6" ht="15.75" customHeight="1">
      <c r="E863" s="135"/>
      <c r="F863" s="135"/>
    </row>
    <row r="864" spans="5:6" ht="15.75" customHeight="1">
      <c r="E864" s="135"/>
      <c r="F864" s="135"/>
    </row>
    <row r="865" spans="5:6" ht="15.75" customHeight="1">
      <c r="E865" s="135"/>
      <c r="F865" s="135"/>
    </row>
    <row r="866" spans="5:6" ht="15.75" customHeight="1">
      <c r="E866" s="135"/>
      <c r="F866" s="135"/>
    </row>
    <row r="867" spans="5:6" ht="15.75" customHeight="1">
      <c r="E867" s="135"/>
      <c r="F867" s="135"/>
    </row>
    <row r="868" spans="5:6" ht="15.75" customHeight="1">
      <c r="E868" s="135"/>
      <c r="F868" s="135"/>
    </row>
    <row r="869" spans="5:6" ht="15.75" customHeight="1">
      <c r="E869" s="135"/>
      <c r="F869" s="135"/>
    </row>
    <row r="870" spans="5:6" ht="15.75" customHeight="1">
      <c r="E870" s="135"/>
      <c r="F870" s="135"/>
    </row>
    <row r="871" spans="5:6" ht="15.75" customHeight="1">
      <c r="E871" s="135"/>
      <c r="F871" s="135"/>
    </row>
    <row r="872" spans="5:6" ht="15.75" customHeight="1">
      <c r="E872" s="135"/>
      <c r="F872" s="135"/>
    </row>
    <row r="873" spans="5:6" ht="15.75" customHeight="1">
      <c r="E873" s="135"/>
      <c r="F873" s="135"/>
    </row>
    <row r="874" spans="5:6" ht="15.75" customHeight="1">
      <c r="E874" s="135"/>
      <c r="F874" s="135"/>
    </row>
    <row r="875" spans="5:6" ht="15.75" customHeight="1">
      <c r="E875" s="135"/>
      <c r="F875" s="135"/>
    </row>
    <row r="876" spans="5:6" ht="15.75" customHeight="1">
      <c r="E876" s="135"/>
      <c r="F876" s="135"/>
    </row>
    <row r="877" spans="5:6" ht="15.75" customHeight="1">
      <c r="E877" s="135"/>
      <c r="F877" s="135"/>
    </row>
    <row r="878" spans="5:6" ht="15.75" customHeight="1">
      <c r="E878" s="135"/>
      <c r="F878" s="135"/>
    </row>
    <row r="879" spans="5:6" ht="15.75" customHeight="1">
      <c r="E879" s="135"/>
      <c r="F879" s="135"/>
    </row>
    <row r="880" spans="5:6" ht="15.75" customHeight="1">
      <c r="E880" s="135"/>
      <c r="F880" s="135"/>
    </row>
    <row r="881" spans="5:6" ht="15.75" customHeight="1">
      <c r="E881" s="135"/>
      <c r="F881" s="135"/>
    </row>
    <row r="882" spans="5:6" ht="15.75" customHeight="1">
      <c r="E882" s="135"/>
      <c r="F882" s="135"/>
    </row>
    <row r="883" spans="5:6" ht="15.75" customHeight="1">
      <c r="E883" s="135"/>
      <c r="F883" s="135"/>
    </row>
    <row r="884" spans="5:6" ht="15.75" customHeight="1">
      <c r="E884" s="135"/>
      <c r="F884" s="135"/>
    </row>
    <row r="885" spans="5:6" ht="15.75" customHeight="1">
      <c r="E885" s="135"/>
      <c r="F885" s="135"/>
    </row>
    <row r="886" spans="5:6" ht="15.75" customHeight="1">
      <c r="E886" s="135"/>
      <c r="F886" s="135"/>
    </row>
    <row r="887" spans="5:6" ht="15.75" customHeight="1">
      <c r="E887" s="135"/>
      <c r="F887" s="135"/>
    </row>
    <row r="888" spans="5:6" ht="15.75" customHeight="1">
      <c r="E888" s="135"/>
      <c r="F888" s="135"/>
    </row>
    <row r="889" spans="5:6" ht="15.75" customHeight="1">
      <c r="E889" s="135"/>
      <c r="F889" s="135"/>
    </row>
    <row r="890" spans="5:6" ht="15.75" customHeight="1">
      <c r="E890" s="135"/>
      <c r="F890" s="135"/>
    </row>
    <row r="891" spans="5:6" ht="15.75" customHeight="1">
      <c r="E891" s="135"/>
      <c r="F891" s="135"/>
    </row>
    <row r="892" spans="5:6" ht="15.75" customHeight="1">
      <c r="E892" s="135"/>
      <c r="F892" s="135"/>
    </row>
    <row r="893" spans="5:6" ht="15.75" customHeight="1">
      <c r="E893" s="135"/>
      <c r="F893" s="135"/>
    </row>
    <row r="894" spans="5:6" ht="15.75" customHeight="1">
      <c r="E894" s="135"/>
      <c r="F894" s="135"/>
    </row>
    <row r="895" spans="5:6" ht="15.75" customHeight="1">
      <c r="E895" s="135"/>
      <c r="F895" s="135"/>
    </row>
    <row r="896" spans="5:6" ht="15.75" customHeight="1">
      <c r="E896" s="135"/>
      <c r="F896" s="135"/>
    </row>
    <row r="897" spans="5:6" ht="15.75" customHeight="1">
      <c r="E897" s="135"/>
      <c r="F897" s="135"/>
    </row>
    <row r="898" spans="5:6" ht="15.75" customHeight="1">
      <c r="E898" s="135"/>
      <c r="F898" s="135"/>
    </row>
    <row r="899" spans="5:6" ht="15.75" customHeight="1">
      <c r="E899" s="135"/>
      <c r="F899" s="135"/>
    </row>
    <row r="900" spans="5:6" ht="15.75" customHeight="1">
      <c r="E900" s="135"/>
      <c r="F900" s="135"/>
    </row>
    <row r="901" spans="5:6" ht="15.75" customHeight="1">
      <c r="E901" s="135"/>
      <c r="F901" s="135"/>
    </row>
    <row r="902" spans="5:6" ht="15.75" customHeight="1">
      <c r="E902" s="135"/>
      <c r="F902" s="135"/>
    </row>
    <row r="903" spans="5:6" ht="15.75" customHeight="1">
      <c r="E903" s="135"/>
      <c r="F903" s="135"/>
    </row>
    <row r="904" spans="5:6" ht="15.75" customHeight="1">
      <c r="E904" s="135"/>
      <c r="F904" s="135"/>
    </row>
    <row r="905" spans="5:6" ht="15.75" customHeight="1">
      <c r="E905" s="135"/>
      <c r="F905" s="135"/>
    </row>
    <row r="906" spans="5:6" ht="15.75" customHeight="1">
      <c r="E906" s="135"/>
      <c r="F906" s="135"/>
    </row>
    <row r="907" spans="5:6" ht="15.75" customHeight="1">
      <c r="E907" s="135"/>
      <c r="F907" s="135"/>
    </row>
    <row r="908" spans="5:6" ht="15.75" customHeight="1">
      <c r="E908" s="135"/>
      <c r="F908" s="135"/>
    </row>
    <row r="909" spans="5:6" ht="15.75" customHeight="1">
      <c r="E909" s="135"/>
      <c r="F909" s="135"/>
    </row>
    <row r="910" spans="5:6" ht="15.75" customHeight="1">
      <c r="E910" s="135"/>
      <c r="F910" s="135"/>
    </row>
    <row r="911" spans="5:6" ht="15.75" customHeight="1">
      <c r="E911" s="135"/>
      <c r="F911" s="135"/>
    </row>
    <row r="912" spans="5:6" ht="15.75" customHeight="1">
      <c r="E912" s="135"/>
      <c r="F912" s="135"/>
    </row>
    <row r="913" spans="5:6" ht="15.75" customHeight="1">
      <c r="E913" s="135"/>
      <c r="F913" s="135"/>
    </row>
    <row r="914" spans="5:6" ht="15.75" customHeight="1">
      <c r="E914" s="135"/>
      <c r="F914" s="135"/>
    </row>
    <row r="915" spans="5:6" ht="15.75" customHeight="1">
      <c r="E915" s="135"/>
      <c r="F915" s="135"/>
    </row>
    <row r="916" spans="5:6" ht="15.75" customHeight="1">
      <c r="E916" s="135"/>
      <c r="F916" s="135"/>
    </row>
    <row r="917" spans="5:6" ht="15.75" customHeight="1">
      <c r="E917" s="135"/>
      <c r="F917" s="135"/>
    </row>
    <row r="918" spans="5:6" ht="15.75" customHeight="1">
      <c r="E918" s="135"/>
      <c r="F918" s="135"/>
    </row>
    <row r="919" spans="5:6" ht="15.75" customHeight="1">
      <c r="E919" s="135"/>
      <c r="F919" s="135"/>
    </row>
    <row r="920" spans="5:6" ht="15.75" customHeight="1">
      <c r="E920" s="135"/>
      <c r="F920" s="135"/>
    </row>
    <row r="921" spans="5:6" ht="15.75" customHeight="1">
      <c r="E921" s="135"/>
      <c r="F921" s="135"/>
    </row>
    <row r="922" spans="5:6" ht="15.75" customHeight="1">
      <c r="E922" s="135"/>
      <c r="F922" s="135"/>
    </row>
    <row r="923" spans="5:6" ht="15.75" customHeight="1">
      <c r="E923" s="135"/>
      <c r="F923" s="135"/>
    </row>
    <row r="924" spans="5:6" ht="15.75" customHeight="1">
      <c r="E924" s="135"/>
      <c r="F924" s="135"/>
    </row>
    <row r="925" spans="5:6" ht="15.75" customHeight="1">
      <c r="E925" s="135"/>
      <c r="F925" s="135"/>
    </row>
    <row r="926" spans="5:6" ht="15.75" customHeight="1">
      <c r="E926" s="135"/>
      <c r="F926" s="135"/>
    </row>
    <row r="927" spans="5:6" ht="15.75" customHeight="1">
      <c r="E927" s="135"/>
      <c r="F927" s="135"/>
    </row>
    <row r="928" spans="5:6" ht="15.75" customHeight="1">
      <c r="E928" s="135"/>
      <c r="F928" s="135"/>
    </row>
    <row r="929" spans="5:6" ht="15.75" customHeight="1">
      <c r="E929" s="135"/>
      <c r="F929" s="135"/>
    </row>
    <row r="930" spans="5:6" ht="15.75" customHeight="1">
      <c r="E930" s="135"/>
      <c r="F930" s="135"/>
    </row>
    <row r="931" spans="5:6" ht="15.75" customHeight="1">
      <c r="E931" s="135"/>
      <c r="F931" s="135"/>
    </row>
    <row r="932" spans="5:6" ht="15.75" customHeight="1">
      <c r="E932" s="135"/>
      <c r="F932" s="135"/>
    </row>
    <row r="933" spans="5:6" ht="15.75" customHeight="1">
      <c r="E933" s="135"/>
      <c r="F933" s="135"/>
    </row>
    <row r="934" spans="5:6" ht="15.75" customHeight="1">
      <c r="E934" s="135"/>
      <c r="F934" s="135"/>
    </row>
    <row r="935" spans="5:6" ht="15.75" customHeight="1">
      <c r="E935" s="135"/>
      <c r="F935" s="135"/>
    </row>
    <row r="936" spans="5:6" ht="15.75" customHeight="1">
      <c r="E936" s="135"/>
      <c r="F936" s="135"/>
    </row>
    <row r="937" spans="5:6" ht="15.75" customHeight="1">
      <c r="E937" s="135"/>
      <c r="F937" s="135"/>
    </row>
    <row r="938" spans="5:6" ht="15.75" customHeight="1">
      <c r="E938" s="135"/>
      <c r="F938" s="135"/>
    </row>
    <row r="939" spans="5:6" ht="15.75" customHeight="1">
      <c r="E939" s="135"/>
      <c r="F939" s="135"/>
    </row>
    <row r="940" spans="5:6" ht="15.75" customHeight="1">
      <c r="E940" s="135"/>
      <c r="F940" s="135"/>
    </row>
    <row r="941" spans="5:6" ht="15.75" customHeight="1">
      <c r="E941" s="135"/>
      <c r="F941" s="135"/>
    </row>
    <row r="942" spans="5:6" ht="15.75" customHeight="1">
      <c r="E942" s="135"/>
      <c r="F942" s="135"/>
    </row>
    <row r="943" spans="5:6" ht="15.75" customHeight="1">
      <c r="E943" s="135"/>
      <c r="F943" s="135"/>
    </row>
    <row r="944" spans="5:6" ht="15.75" customHeight="1">
      <c r="E944" s="135"/>
      <c r="F944" s="135"/>
    </row>
    <row r="945" spans="5:6" ht="15.75" customHeight="1">
      <c r="E945" s="135"/>
      <c r="F945" s="135"/>
    </row>
    <row r="946" spans="5:6" ht="15.75" customHeight="1">
      <c r="E946" s="135"/>
      <c r="F946" s="135"/>
    </row>
    <row r="947" spans="5:6" ht="15.75" customHeight="1">
      <c r="E947" s="135"/>
      <c r="F947" s="135"/>
    </row>
    <row r="948" spans="5:6" ht="15.75" customHeight="1">
      <c r="E948" s="135"/>
      <c r="F948" s="135"/>
    </row>
    <row r="949" spans="5:6" ht="15.75" customHeight="1">
      <c r="E949" s="135"/>
      <c r="F949" s="135"/>
    </row>
    <row r="950" spans="5:6" ht="15.75" customHeight="1">
      <c r="E950" s="135"/>
      <c r="F950" s="135"/>
    </row>
    <row r="951" spans="5:6" ht="15.75" customHeight="1">
      <c r="E951" s="135"/>
      <c r="F951" s="135"/>
    </row>
    <row r="952" spans="5:6" ht="15.75" customHeight="1">
      <c r="E952" s="135"/>
      <c r="F952" s="135"/>
    </row>
    <row r="953" spans="5:6" ht="15.75" customHeight="1">
      <c r="E953" s="135"/>
      <c r="F953" s="135"/>
    </row>
    <row r="954" spans="5:6" ht="15.75" customHeight="1">
      <c r="E954" s="135"/>
      <c r="F954" s="135"/>
    </row>
    <row r="955" spans="5:6" ht="15.75" customHeight="1">
      <c r="E955" s="135"/>
      <c r="F955" s="135"/>
    </row>
    <row r="956" spans="5:6" ht="15.75" customHeight="1">
      <c r="E956" s="135"/>
      <c r="F956" s="135"/>
    </row>
    <row r="957" spans="5:6" ht="15.75" customHeight="1">
      <c r="E957" s="135"/>
      <c r="F957" s="135"/>
    </row>
    <row r="958" spans="5:6" ht="15.75" customHeight="1">
      <c r="E958" s="135"/>
      <c r="F958" s="135"/>
    </row>
    <row r="959" spans="5:6" ht="15.75" customHeight="1">
      <c r="E959" s="135"/>
      <c r="F959" s="135"/>
    </row>
    <row r="960" spans="5:6" ht="15.75" customHeight="1">
      <c r="E960" s="135"/>
      <c r="F960" s="135"/>
    </row>
    <row r="961" spans="5:6" ht="15.75" customHeight="1">
      <c r="E961" s="135"/>
      <c r="F961" s="135"/>
    </row>
    <row r="962" spans="5:6" ht="15.75" customHeight="1">
      <c r="E962" s="135"/>
      <c r="F962" s="135"/>
    </row>
    <row r="963" spans="5:6" ht="15.75" customHeight="1">
      <c r="E963" s="135"/>
      <c r="F963" s="135"/>
    </row>
    <row r="964" spans="5:6" ht="15.75" customHeight="1">
      <c r="E964" s="135"/>
      <c r="F964" s="135"/>
    </row>
    <row r="965" spans="5:6" ht="15.75" customHeight="1">
      <c r="E965" s="135"/>
      <c r="F965" s="135"/>
    </row>
    <row r="966" spans="5:6" ht="15.75" customHeight="1">
      <c r="E966" s="135"/>
      <c r="F966" s="135"/>
    </row>
    <row r="967" spans="5:6" ht="15.75" customHeight="1">
      <c r="E967" s="135"/>
      <c r="F967" s="135"/>
    </row>
    <row r="968" spans="5:6" ht="15.75" customHeight="1">
      <c r="E968" s="135"/>
      <c r="F968" s="135"/>
    </row>
    <row r="969" spans="5:6" ht="15.75" customHeight="1">
      <c r="E969" s="135"/>
      <c r="F969" s="135"/>
    </row>
    <row r="970" spans="5:6" ht="15.75" customHeight="1">
      <c r="E970" s="135"/>
      <c r="F970" s="135"/>
    </row>
    <row r="971" spans="5:6" ht="15.75" customHeight="1">
      <c r="E971" s="135"/>
      <c r="F971" s="135"/>
    </row>
    <row r="972" spans="5:6" ht="15.75" customHeight="1">
      <c r="E972" s="135"/>
      <c r="F972" s="135"/>
    </row>
    <row r="973" spans="5:6" ht="15.75" customHeight="1">
      <c r="E973" s="135"/>
      <c r="F973" s="135"/>
    </row>
    <row r="974" spans="5:6" ht="15.75" customHeight="1">
      <c r="E974" s="135"/>
      <c r="F974" s="135"/>
    </row>
    <row r="975" spans="5:6" ht="15.75" customHeight="1">
      <c r="E975" s="135"/>
      <c r="F975" s="135"/>
    </row>
    <row r="976" spans="5:6" ht="15.75" customHeight="1">
      <c r="E976" s="135"/>
      <c r="F976" s="135"/>
    </row>
    <row r="977" spans="5:6" ht="15.75" customHeight="1">
      <c r="E977" s="135"/>
      <c r="F977" s="135"/>
    </row>
    <row r="978" spans="5:6" ht="15.75" customHeight="1">
      <c r="E978" s="135"/>
      <c r="F978" s="135"/>
    </row>
    <row r="979" spans="5:6" ht="15.75" customHeight="1">
      <c r="E979" s="135"/>
      <c r="F979" s="135"/>
    </row>
    <row r="980" spans="5:6" ht="15.75" customHeight="1">
      <c r="E980" s="135"/>
      <c r="F980" s="135"/>
    </row>
    <row r="981" spans="5:6" ht="15.75" customHeight="1">
      <c r="E981" s="135"/>
      <c r="F981" s="135"/>
    </row>
    <row r="982" spans="5:6" ht="15.75" customHeight="1">
      <c r="E982" s="135"/>
      <c r="F982" s="135"/>
    </row>
    <row r="983" spans="5:6" ht="15.75" customHeight="1">
      <c r="E983" s="135"/>
      <c r="F983" s="135"/>
    </row>
    <row r="984" spans="5:6" ht="15.75" customHeight="1">
      <c r="E984" s="135"/>
      <c r="F984" s="135"/>
    </row>
    <row r="985" spans="5:6" ht="15.75" customHeight="1">
      <c r="E985" s="135"/>
      <c r="F985" s="135"/>
    </row>
    <row r="986" spans="5:6" ht="15.75" customHeight="1">
      <c r="E986" s="135"/>
      <c r="F986" s="135"/>
    </row>
    <row r="987" spans="5:6" ht="15.75" customHeight="1">
      <c r="E987" s="135"/>
      <c r="F987" s="135"/>
    </row>
    <row r="988" spans="5:6" ht="15.75" customHeight="1">
      <c r="E988" s="135"/>
      <c r="F988" s="135"/>
    </row>
    <row r="989" spans="5:6" ht="15.75" customHeight="1">
      <c r="E989" s="135"/>
      <c r="F989" s="135"/>
    </row>
    <row r="990" spans="5:6" ht="15.75" customHeight="1">
      <c r="E990" s="135"/>
      <c r="F990" s="135"/>
    </row>
    <row r="991" spans="5:6" ht="15.75" customHeight="1">
      <c r="E991" s="135"/>
      <c r="F991" s="135"/>
    </row>
    <row r="992" spans="5:6" ht="15.75" customHeight="1">
      <c r="E992" s="135"/>
      <c r="F992" s="135"/>
    </row>
    <row r="993" spans="5:6" ht="15.75" customHeight="1">
      <c r="E993" s="135"/>
      <c r="F993" s="135"/>
    </row>
    <row r="994" spans="5:6" ht="15.75" customHeight="1">
      <c r="E994" s="135"/>
      <c r="F994" s="135"/>
    </row>
    <row r="995" spans="5:6" ht="15.75" customHeight="1">
      <c r="E995" s="135"/>
      <c r="F995" s="135"/>
    </row>
    <row r="996" spans="5:6" ht="15.75" customHeight="1">
      <c r="E996" s="135"/>
      <c r="F996" s="135"/>
    </row>
    <row r="997" spans="5:6" ht="15.75" customHeight="1">
      <c r="E997" s="135"/>
      <c r="F997" s="135"/>
    </row>
    <row r="998" spans="5:6" ht="15.75" customHeight="1">
      <c r="E998" s="135"/>
      <c r="F998" s="135"/>
    </row>
    <row r="999" spans="5:6" ht="15.75" customHeight="1">
      <c r="E999" s="135"/>
      <c r="F999" s="135"/>
    </row>
  </sheetData>
  <mergeCells count="17">
    <mergeCell ref="J9:J10"/>
    <mergeCell ref="K9:K10"/>
    <mergeCell ref="A1:H1"/>
    <mergeCell ref="B3:H3"/>
    <mergeCell ref="J5:K6"/>
    <mergeCell ref="J7:J8"/>
    <mergeCell ref="K7:K8"/>
    <mergeCell ref="J22:J23"/>
    <mergeCell ref="K22:K23"/>
    <mergeCell ref="E27:H27"/>
    <mergeCell ref="J11:J12"/>
    <mergeCell ref="K11:K12"/>
    <mergeCell ref="J16:K17"/>
    <mergeCell ref="J18:J19"/>
    <mergeCell ref="K18:K19"/>
    <mergeCell ref="J20:J21"/>
    <mergeCell ref="K20:K21"/>
  </mergeCells>
  <phoneticPr fontId="11"/>
  <printOptions horizontalCentered="1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積算_コピーを作成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積算_コピーを作成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utton 4">
              <controlPr defaultSize="0" print="0" autoFill="0" autoPict="0" macro="[0]!積算_コピーを作成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Button 5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Button 6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9</xdr:col>
                    <xdr:colOff>1009650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R1000"/>
  <sheetViews>
    <sheetView tabSelected="1" zoomScaleNormal="100" workbookViewId="0">
      <selection activeCell="J4" sqref="J4"/>
    </sheetView>
  </sheetViews>
  <sheetFormatPr defaultColWidth="12.625" defaultRowHeight="15" customHeight="1"/>
  <cols>
    <col min="1" max="1" width="9" style="140" customWidth="1"/>
    <col min="2" max="2" width="14.375" style="140" customWidth="1"/>
    <col min="3" max="3" width="13.75" style="140" customWidth="1"/>
    <col min="4" max="4" width="7.625" style="140" customWidth="1"/>
    <col min="5" max="5" width="6.25" style="140" customWidth="1"/>
    <col min="6" max="6" width="13.875" style="140" customWidth="1"/>
    <col min="7" max="7" width="6.25" style="140" customWidth="1"/>
    <col min="8" max="8" width="5.25" style="140" customWidth="1"/>
    <col min="9" max="9" width="13.625" style="140" customWidth="1"/>
    <col min="10" max="10" width="14.75" style="140" customWidth="1"/>
    <col min="11" max="11" width="4.375" style="140" customWidth="1"/>
    <col min="12" max="13" width="9" style="140" customWidth="1"/>
    <col min="14" max="14" width="12.625" style="140" customWidth="1"/>
    <col min="15" max="15" width="4.875" style="140" customWidth="1"/>
    <col min="16" max="16" width="16.125" style="140" customWidth="1"/>
    <col min="17" max="17" width="12.375" style="140" customWidth="1"/>
    <col min="18" max="26" width="14.375" style="140" customWidth="1"/>
    <col min="27" max="16384" width="12.625" style="140"/>
  </cols>
  <sheetData>
    <row r="1" spans="1:14" ht="33" customHeight="1">
      <c r="A1" s="422" t="s">
        <v>9</v>
      </c>
      <c r="B1" s="422"/>
      <c r="C1" s="422"/>
      <c r="D1" s="422"/>
      <c r="E1" s="422"/>
      <c r="F1" s="422"/>
      <c r="G1" s="422"/>
      <c r="H1" s="139"/>
      <c r="I1" s="139"/>
      <c r="J1" s="139"/>
      <c r="K1" s="2"/>
      <c r="L1" s="2"/>
      <c r="M1" s="2"/>
      <c r="N1" s="2"/>
    </row>
    <row r="2" spans="1:14" ht="13.5" customHeight="1">
      <c r="A2" s="141"/>
      <c r="B2" s="141"/>
      <c r="C2" s="141"/>
      <c r="D2" s="141"/>
      <c r="E2" s="141"/>
      <c r="F2" s="141"/>
      <c r="G2" s="141"/>
      <c r="H2" s="139"/>
      <c r="I2" s="139"/>
      <c r="J2" s="139"/>
      <c r="K2" s="2"/>
      <c r="L2" s="2"/>
      <c r="M2" s="2"/>
      <c r="N2" s="2"/>
    </row>
    <row r="3" spans="1:14" ht="12.75" customHeight="1" thickBot="1">
      <c r="A3" s="429" t="s">
        <v>0</v>
      </c>
      <c r="B3" s="423" t="s">
        <v>128</v>
      </c>
      <c r="C3" s="424"/>
      <c r="D3" s="424"/>
      <c r="E3" s="425"/>
      <c r="F3" s="429" t="s">
        <v>1</v>
      </c>
      <c r="G3" s="431">
        <v>0.57999999999999996</v>
      </c>
      <c r="H3" s="2"/>
      <c r="I3" s="2"/>
      <c r="J3" s="2"/>
      <c r="K3" s="2"/>
      <c r="L3" s="2"/>
      <c r="M3" s="2"/>
      <c r="N3" s="2"/>
    </row>
    <row r="4" spans="1:14" ht="26.25" customHeight="1" thickBot="1">
      <c r="A4" s="430"/>
      <c r="B4" s="426"/>
      <c r="C4" s="427"/>
      <c r="D4" s="427"/>
      <c r="E4" s="428"/>
      <c r="F4" s="430"/>
      <c r="G4" s="432"/>
      <c r="H4" s="2"/>
      <c r="I4" s="27" t="s">
        <v>19</v>
      </c>
      <c r="J4" s="142">
        <v>3</v>
      </c>
      <c r="L4" s="2"/>
      <c r="M4" s="2"/>
      <c r="N4" s="2"/>
    </row>
    <row r="5" spans="1:14" ht="27.75" customHeight="1">
      <c r="A5" s="2"/>
      <c r="B5" s="143"/>
      <c r="C5" s="143"/>
      <c r="D5" s="143"/>
      <c r="E5" s="143"/>
      <c r="F5" s="143"/>
      <c r="G5" s="143"/>
      <c r="H5" s="2"/>
      <c r="L5" s="2"/>
    </row>
    <row r="6" spans="1:14" ht="18.95" customHeight="1">
      <c r="A6" s="3"/>
      <c r="B6" s="17" t="s">
        <v>2</v>
      </c>
      <c r="C6" s="17" t="s">
        <v>24</v>
      </c>
      <c r="D6" s="17" t="s">
        <v>30</v>
      </c>
      <c r="E6" s="17" t="s">
        <v>5</v>
      </c>
      <c r="F6" s="17" t="s">
        <v>110</v>
      </c>
      <c r="G6" s="17" t="s">
        <v>5</v>
      </c>
      <c r="H6" s="2"/>
      <c r="L6" s="2"/>
    </row>
    <row r="7" spans="1:14" ht="18.95" customHeight="1">
      <c r="A7" s="16" t="s">
        <v>8</v>
      </c>
      <c r="B7" s="3"/>
      <c r="C7" s="4">
        <v>1200</v>
      </c>
      <c r="D7" s="6">
        <v>2.5</v>
      </c>
      <c r="E7" s="11" t="s">
        <v>38</v>
      </c>
      <c r="F7" s="14">
        <f>(C7*D7*G3)</f>
        <v>1739.9999999999998</v>
      </c>
      <c r="G7" s="26" t="s">
        <v>41</v>
      </c>
      <c r="H7" s="2"/>
      <c r="L7" s="2"/>
    </row>
    <row r="8" spans="1:14" ht="18.95" customHeight="1" thickBot="1">
      <c r="A8" s="16" t="s">
        <v>11</v>
      </c>
      <c r="B8" s="3"/>
      <c r="C8" s="4"/>
      <c r="D8" s="7"/>
      <c r="E8" s="8"/>
      <c r="F8" s="15"/>
      <c r="G8" s="9"/>
      <c r="H8" s="2"/>
      <c r="I8" s="2"/>
      <c r="J8" s="2"/>
      <c r="K8" s="10"/>
      <c r="L8" s="2"/>
    </row>
    <row r="9" spans="1:14" ht="18.95" customHeight="1" thickTop="1">
      <c r="A9" s="2"/>
      <c r="B9" s="2"/>
      <c r="C9" s="5"/>
      <c r="D9" s="144"/>
      <c r="E9" s="21" t="s">
        <v>31</v>
      </c>
      <c r="F9" s="19">
        <f>SUM(F7:F8)</f>
        <v>1739.9999999999998</v>
      </c>
      <c r="G9" s="20" t="s">
        <v>46</v>
      </c>
      <c r="H9" s="2"/>
      <c r="I9" s="2"/>
      <c r="J9" s="2"/>
      <c r="K9" s="10"/>
      <c r="L9" s="2"/>
    </row>
    <row r="10" spans="1:14" ht="18.9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4" ht="18.95" customHeight="1">
      <c r="A11" s="3"/>
      <c r="B11" s="17" t="s">
        <v>34</v>
      </c>
      <c r="C11" s="17" t="s">
        <v>47</v>
      </c>
      <c r="D11" s="17" t="s">
        <v>30</v>
      </c>
      <c r="E11" s="17" t="s">
        <v>5</v>
      </c>
      <c r="F11" s="17" t="s">
        <v>111</v>
      </c>
      <c r="G11" s="17" t="s">
        <v>5</v>
      </c>
      <c r="H11" s="2"/>
      <c r="I11" s="2"/>
      <c r="J11" s="2"/>
      <c r="K11" s="2"/>
      <c r="L11" s="2"/>
    </row>
    <row r="12" spans="1:14" ht="18.95" customHeight="1">
      <c r="A12" s="16" t="s">
        <v>62</v>
      </c>
      <c r="B12" s="3" t="s">
        <v>123</v>
      </c>
      <c r="C12" s="4">
        <v>400</v>
      </c>
      <c r="D12" s="6">
        <f>D7</f>
        <v>2.5</v>
      </c>
      <c r="E12" s="11" t="s">
        <v>38</v>
      </c>
      <c r="F12" s="14">
        <f t="shared" ref="F12:F16" si="0">(C12*D12)</f>
        <v>1000</v>
      </c>
      <c r="G12" s="12" t="s">
        <v>46</v>
      </c>
      <c r="H12" s="2"/>
      <c r="I12" s="2"/>
      <c r="J12" s="2"/>
      <c r="K12" s="2"/>
      <c r="L12" s="2"/>
    </row>
    <row r="13" spans="1:14" ht="18.95" customHeight="1">
      <c r="A13" s="16" t="s">
        <v>63</v>
      </c>
      <c r="B13" s="145" t="s">
        <v>67</v>
      </c>
      <c r="C13" s="146">
        <f>LOOKUP(J4,ベース仕切り,N21:N30)</f>
        <v>2600</v>
      </c>
      <c r="D13" s="147">
        <v>1</v>
      </c>
      <c r="E13" s="148" t="s">
        <v>46</v>
      </c>
      <c r="F13" s="149">
        <f t="shared" si="0"/>
        <v>2600</v>
      </c>
      <c r="G13" s="150" t="s">
        <v>46</v>
      </c>
      <c r="H13" s="2"/>
      <c r="I13" s="2"/>
      <c r="J13" s="2"/>
      <c r="K13" s="2"/>
      <c r="L13" s="2"/>
    </row>
    <row r="14" spans="1:14" ht="18.95" customHeight="1">
      <c r="A14" s="16" t="s">
        <v>64</v>
      </c>
      <c r="B14" s="3"/>
      <c r="C14" s="4"/>
      <c r="D14" s="7"/>
      <c r="E14" s="11"/>
      <c r="F14" s="14">
        <f t="shared" si="0"/>
        <v>0</v>
      </c>
      <c r="G14" s="12"/>
      <c r="H14" s="2"/>
      <c r="I14" s="2"/>
      <c r="J14" s="2"/>
      <c r="K14" s="2"/>
      <c r="L14" s="2"/>
    </row>
    <row r="15" spans="1:14" ht="18.95" customHeight="1" thickBot="1">
      <c r="A15" s="16" t="s">
        <v>65</v>
      </c>
      <c r="B15" s="3"/>
      <c r="C15" s="4"/>
      <c r="D15" s="7"/>
      <c r="E15" s="11"/>
      <c r="F15" s="14">
        <f t="shared" si="0"/>
        <v>0</v>
      </c>
      <c r="G15" s="12"/>
      <c r="H15" s="2"/>
      <c r="I15" s="2"/>
      <c r="J15" s="2"/>
      <c r="K15" s="2"/>
      <c r="L15" s="2"/>
    </row>
    <row r="16" spans="1:14" ht="18.95" customHeight="1" thickBot="1">
      <c r="A16" s="16" t="s">
        <v>66</v>
      </c>
      <c r="B16" s="3"/>
      <c r="C16" s="4"/>
      <c r="D16" s="7"/>
      <c r="E16" s="8"/>
      <c r="F16" s="15">
        <f t="shared" si="0"/>
        <v>0</v>
      </c>
      <c r="G16" s="9"/>
      <c r="H16" s="2"/>
      <c r="I16" s="22" t="s">
        <v>48</v>
      </c>
      <c r="J16" s="23">
        <f>((F9+F12)*J4+SUM(F13:F16))</f>
        <v>10820</v>
      </c>
      <c r="K16" s="24" t="s">
        <v>41</v>
      </c>
      <c r="L16" s="2"/>
    </row>
    <row r="17" spans="1:18" ht="18.95" customHeight="1" thickTop="1" thickBot="1">
      <c r="A17" s="2"/>
      <c r="B17" s="2"/>
      <c r="C17" s="2"/>
      <c r="D17" s="2"/>
      <c r="E17" s="18" t="s">
        <v>31</v>
      </c>
      <c r="F17" s="19">
        <f>SUM(F12:F16)</f>
        <v>3600</v>
      </c>
      <c r="G17" s="20" t="s">
        <v>46</v>
      </c>
      <c r="H17" s="2"/>
      <c r="I17" s="151" t="s">
        <v>49</v>
      </c>
      <c r="J17" s="152">
        <f>J16/0.7</f>
        <v>15457.142857142859</v>
      </c>
      <c r="K17" s="25" t="s">
        <v>41</v>
      </c>
      <c r="L17" s="2"/>
      <c r="M17" s="2"/>
      <c r="N17" s="2"/>
    </row>
    <row r="18" spans="1:18" ht="13.5" customHeight="1" thickBot="1">
      <c r="A18" s="2"/>
      <c r="B18" s="2"/>
      <c r="C18" s="2"/>
      <c r="D18" s="2"/>
      <c r="E18" s="2"/>
      <c r="F18" s="1"/>
      <c r="G18" s="2"/>
      <c r="H18" s="2"/>
      <c r="I18" s="2"/>
      <c r="J18" s="2"/>
      <c r="K18" s="2"/>
      <c r="L18" s="2"/>
      <c r="M18" s="2"/>
      <c r="N18" s="2"/>
    </row>
    <row r="19" spans="1:18" ht="21" customHeight="1" thickBo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417" t="s">
        <v>50</v>
      </c>
      <c r="N19" s="418"/>
      <c r="P19" s="419" t="s">
        <v>51</v>
      </c>
      <c r="Q19" s="420"/>
      <c r="R19" s="421"/>
    </row>
    <row r="20" spans="1:18" ht="21" customHeight="1" thickTop="1" thickBo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69" t="s">
        <v>52</v>
      </c>
      <c r="N20" s="270" t="s">
        <v>28</v>
      </c>
      <c r="P20" s="267" t="s">
        <v>53</v>
      </c>
      <c r="Q20" s="234" t="s">
        <v>16</v>
      </c>
      <c r="R20" s="268" t="s">
        <v>28</v>
      </c>
    </row>
    <row r="21" spans="1:18" ht="13.5" customHeight="1" thickBot="1">
      <c r="A21" s="415" t="s">
        <v>124</v>
      </c>
      <c r="B21" s="416"/>
      <c r="C21" s="2" t="s">
        <v>125</v>
      </c>
      <c r="D21" s="2"/>
      <c r="E21" s="2"/>
      <c r="F21" s="2"/>
      <c r="G21" s="2"/>
      <c r="H21" s="2"/>
      <c r="I21" s="2"/>
      <c r="J21" s="2"/>
      <c r="K21" s="2"/>
      <c r="L21" s="2"/>
      <c r="M21" s="271">
        <v>1</v>
      </c>
      <c r="N21" s="272">
        <v>2400</v>
      </c>
      <c r="P21" s="262" t="s">
        <v>54</v>
      </c>
      <c r="Q21" s="13">
        <v>120</v>
      </c>
      <c r="R21" s="263">
        <v>550</v>
      </c>
    </row>
    <row r="22" spans="1:18" ht="13.5" customHeight="1" thickTop="1">
      <c r="A22" s="256">
        <v>1</v>
      </c>
      <c r="B22" s="259">
        <v>5400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71">
        <v>2</v>
      </c>
      <c r="N22" s="272">
        <v>2400</v>
      </c>
      <c r="P22" s="262" t="s">
        <v>54</v>
      </c>
      <c r="Q22" s="13">
        <v>120</v>
      </c>
      <c r="R22" s="263">
        <v>650</v>
      </c>
    </row>
    <row r="23" spans="1:18" ht="13.5" customHeight="1">
      <c r="A23" s="257">
        <v>2</v>
      </c>
      <c r="B23" s="260">
        <v>7400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71">
        <v>3</v>
      </c>
      <c r="N23" s="272">
        <v>2600</v>
      </c>
      <c r="P23" s="262" t="s">
        <v>13</v>
      </c>
      <c r="Q23" s="13">
        <v>120</v>
      </c>
      <c r="R23" s="263">
        <v>400</v>
      </c>
    </row>
    <row r="24" spans="1:18" ht="13.5" customHeight="1">
      <c r="A24" s="257">
        <v>3</v>
      </c>
      <c r="B24" s="260">
        <v>9700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71">
        <v>4</v>
      </c>
      <c r="N24" s="272">
        <v>2600</v>
      </c>
      <c r="P24" s="262" t="s">
        <v>13</v>
      </c>
      <c r="Q24" s="13">
        <v>150</v>
      </c>
      <c r="R24" s="263">
        <v>500</v>
      </c>
    </row>
    <row r="25" spans="1:18" ht="13.5" customHeight="1">
      <c r="A25" s="257">
        <v>4</v>
      </c>
      <c r="B25" s="260">
        <v>11600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71">
        <v>5</v>
      </c>
      <c r="N25" s="272">
        <v>2800</v>
      </c>
      <c r="P25" s="262" t="s">
        <v>55</v>
      </c>
      <c r="Q25" s="13">
        <v>150</v>
      </c>
      <c r="R25" s="263">
        <v>650</v>
      </c>
    </row>
    <row r="26" spans="1:18" ht="13.5" customHeight="1">
      <c r="A26" s="257">
        <v>5</v>
      </c>
      <c r="B26" s="260">
        <v>13900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71">
        <v>6</v>
      </c>
      <c r="N26" s="272">
        <v>2800</v>
      </c>
      <c r="P26" s="262" t="s">
        <v>55</v>
      </c>
      <c r="Q26" s="13">
        <v>210</v>
      </c>
      <c r="R26" s="263">
        <v>750</v>
      </c>
    </row>
    <row r="27" spans="1:18" ht="13.5" customHeight="1">
      <c r="A27" s="257">
        <v>6</v>
      </c>
      <c r="B27" s="260">
        <v>15800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71">
        <v>7</v>
      </c>
      <c r="N27" s="272">
        <v>3000</v>
      </c>
      <c r="P27" s="262"/>
      <c r="Q27" s="13"/>
      <c r="R27" s="263"/>
    </row>
    <row r="28" spans="1:18" ht="13.5" customHeight="1">
      <c r="A28" s="257">
        <v>7</v>
      </c>
      <c r="B28" s="260">
        <v>18100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71">
        <v>8</v>
      </c>
      <c r="N28" s="272">
        <v>3000</v>
      </c>
      <c r="P28" s="262"/>
      <c r="Q28" s="13"/>
      <c r="R28" s="263"/>
    </row>
    <row r="29" spans="1:18" ht="13.5" customHeight="1">
      <c r="A29" s="257">
        <v>8</v>
      </c>
      <c r="B29" s="260">
        <v>20000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71">
        <v>9</v>
      </c>
      <c r="N29" s="272">
        <v>3500</v>
      </c>
      <c r="P29" s="262"/>
      <c r="Q29" s="13"/>
      <c r="R29" s="263"/>
    </row>
    <row r="30" spans="1:18" ht="13.5" customHeight="1" thickBot="1">
      <c r="A30" s="257">
        <v>9</v>
      </c>
      <c r="B30" s="260">
        <v>22700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73">
        <v>10</v>
      </c>
      <c r="N30" s="274">
        <v>3500</v>
      </c>
      <c r="P30" s="262"/>
      <c r="Q30" s="13"/>
      <c r="R30" s="263"/>
    </row>
    <row r="31" spans="1:18" ht="13.5" customHeight="1" thickBot="1">
      <c r="A31" s="258">
        <v>10</v>
      </c>
      <c r="B31" s="261">
        <v>24700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P31" s="262"/>
      <c r="Q31" s="13"/>
      <c r="R31" s="263"/>
    </row>
    <row r="32" spans="1:18" ht="13.5" customHeight="1" thickBot="1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P32" s="262"/>
      <c r="Q32" s="13"/>
      <c r="R32" s="263"/>
    </row>
    <row r="33" spans="1:18" ht="13.5" customHeight="1" thickBot="1">
      <c r="A33" s="415" t="s">
        <v>126</v>
      </c>
      <c r="B33" s="416"/>
      <c r="C33" s="2" t="s">
        <v>125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P33" s="262"/>
      <c r="Q33" s="13"/>
      <c r="R33" s="263"/>
    </row>
    <row r="34" spans="1:18" ht="13.5" customHeight="1" thickTop="1">
      <c r="A34" s="256">
        <v>1</v>
      </c>
      <c r="B34" s="259">
        <v>5800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P34" s="262"/>
      <c r="Q34" s="13"/>
      <c r="R34" s="263"/>
    </row>
    <row r="35" spans="1:18" ht="13.5" customHeight="1">
      <c r="A35" s="257">
        <v>2</v>
      </c>
      <c r="B35" s="260">
        <v>8200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P35" s="262"/>
      <c r="Q35" s="13"/>
      <c r="R35" s="263"/>
    </row>
    <row r="36" spans="1:18" ht="13.5" customHeight="1">
      <c r="A36" s="257">
        <v>3</v>
      </c>
      <c r="B36" s="260">
        <v>10700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P36" s="262"/>
      <c r="Q36" s="13"/>
      <c r="R36" s="263"/>
    </row>
    <row r="37" spans="1:18" ht="13.5" customHeight="1">
      <c r="A37" s="257">
        <v>4</v>
      </c>
      <c r="B37" s="260">
        <v>13000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P37" s="262"/>
      <c r="Q37" s="13"/>
      <c r="R37" s="263"/>
    </row>
    <row r="38" spans="1:18" ht="13.5" customHeight="1" thickBot="1">
      <c r="A38" s="257">
        <v>5</v>
      </c>
      <c r="B38" s="260">
        <v>15700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P38" s="264"/>
      <c r="Q38" s="265"/>
      <c r="R38" s="266"/>
    </row>
    <row r="39" spans="1:18" ht="13.5" customHeight="1">
      <c r="A39" s="257">
        <v>6</v>
      </c>
      <c r="B39" s="260">
        <v>18000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8" ht="13.5" customHeight="1">
      <c r="A40" s="257">
        <v>7</v>
      </c>
      <c r="B40" s="260">
        <v>20600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8" ht="13.5" customHeight="1">
      <c r="A41" s="257">
        <v>8</v>
      </c>
      <c r="B41" s="260">
        <v>22900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8" ht="13.5" customHeight="1">
      <c r="A42" s="257">
        <v>9</v>
      </c>
      <c r="B42" s="260">
        <v>25900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8" ht="13.5" customHeight="1" thickBot="1">
      <c r="A43" s="258">
        <v>10</v>
      </c>
      <c r="B43" s="261">
        <v>28300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8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8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8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8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  <row r="85" spans="1:14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</row>
    <row r="86" spans="1:14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</row>
    <row r="87" spans="1:14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</row>
    <row r="88" spans="1:14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</row>
    <row r="89" spans="1:14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</row>
    <row r="90" spans="1:14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</row>
    <row r="91" spans="1:14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</row>
    <row r="92" spans="1:14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</row>
    <row r="93" spans="1:14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</row>
    <row r="94" spans="1:1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</row>
    <row r="95" spans="1:14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</row>
    <row r="96" spans="1:14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</row>
    <row r="97" spans="1:14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</row>
    <row r="98" spans="1:14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</row>
    <row r="99" spans="1:14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</row>
    <row r="100" spans="1:14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</row>
    <row r="101" spans="1:14" ht="15.75" customHeight="1"/>
    <row r="102" spans="1:14" ht="15.75" customHeight="1"/>
    <row r="103" spans="1:14" ht="15.75" customHeight="1"/>
    <row r="104" spans="1:14" ht="15.75" customHeight="1"/>
    <row r="105" spans="1:14" ht="15.75" customHeight="1"/>
    <row r="106" spans="1:14" ht="15.75" customHeight="1"/>
    <row r="107" spans="1:14" ht="15.75" customHeight="1"/>
    <row r="108" spans="1:14" ht="15.75" customHeight="1"/>
    <row r="109" spans="1:14" ht="15.75" customHeight="1"/>
    <row r="110" spans="1:14" ht="15.75" customHeight="1"/>
    <row r="111" spans="1:14" ht="15.75" customHeight="1"/>
    <row r="112" spans="1:14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A21:B21"/>
    <mergeCell ref="A33:B33"/>
    <mergeCell ref="M19:N19"/>
    <mergeCell ref="P19:R19"/>
    <mergeCell ref="A1:G1"/>
    <mergeCell ref="B3:E4"/>
    <mergeCell ref="A3:A4"/>
    <mergeCell ref="F3:F4"/>
    <mergeCell ref="G3:G4"/>
  </mergeCells>
  <phoneticPr fontId="11"/>
  <dataValidations count="2">
    <dataValidation type="list" allowBlank="1" showInputMessage="1" showErrorMessage="1" prompt=" - " sqref="J4" xr:uid="{D53A3EE5-CDD3-4717-BD2F-2039F6013D8E}">
      <formula1>$M$21:$M$30</formula1>
    </dataValidation>
    <dataValidation type="list" allowBlank="1" sqref="J3" xr:uid="{5BBCC91E-4E3E-426D-B8E0-66EC7F4185D4}">
      <formula1>$P$21:$P$38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A0C78-C222-4508-8EC9-429F23BE5B51}">
  <sheetPr codeName="Sheet5">
    <tabColor theme="0"/>
  </sheetPr>
  <dimension ref="A1:E22"/>
  <sheetViews>
    <sheetView topLeftCell="A22" workbookViewId="0">
      <selection activeCell="B6" sqref="B6"/>
    </sheetView>
  </sheetViews>
  <sheetFormatPr defaultColWidth="8.875" defaultRowHeight="13.5"/>
  <cols>
    <col min="1" max="1" width="25.5" style="98" customWidth="1"/>
    <col min="2" max="2" width="59.75" style="98" customWidth="1"/>
    <col min="3" max="3" width="17.5" style="98" customWidth="1"/>
    <col min="4" max="4" width="23.75" style="98" customWidth="1"/>
    <col min="5" max="5" width="18.875" style="98" customWidth="1"/>
    <col min="6" max="16384" width="8.875" style="98"/>
  </cols>
  <sheetData>
    <row r="1" spans="1:5" ht="43.15" customHeight="1" thickBot="1">
      <c r="A1" s="433" t="s">
        <v>106</v>
      </c>
      <c r="B1" s="433"/>
      <c r="C1" s="103"/>
      <c r="D1" s="104" t="s">
        <v>127</v>
      </c>
      <c r="E1" s="105">
        <f ca="1">TODAY()</f>
        <v>44237</v>
      </c>
    </row>
    <row r="2" spans="1:5" ht="20.45" customHeight="1" thickTop="1">
      <c r="A2" s="97"/>
      <c r="B2" s="97"/>
      <c r="C2" s="97"/>
      <c r="D2" s="97"/>
      <c r="E2" s="97"/>
    </row>
    <row r="3" spans="1:5" ht="20.45" customHeight="1">
      <c r="A3" s="100" t="s">
        <v>102</v>
      </c>
      <c r="B3" s="102"/>
      <c r="C3" s="97"/>
      <c r="D3" s="100" t="s">
        <v>103</v>
      </c>
      <c r="E3" s="100"/>
    </row>
    <row r="4" spans="1:5" ht="20.45" customHeight="1">
      <c r="A4" s="100" t="s">
        <v>105</v>
      </c>
      <c r="B4" s="100"/>
      <c r="C4" s="97"/>
      <c r="D4" s="100" t="s">
        <v>104</v>
      </c>
      <c r="E4" s="100" t="s">
        <v>107</v>
      </c>
    </row>
    <row r="5" spans="1:5" ht="20.45" customHeight="1">
      <c r="A5" s="97"/>
      <c r="B5" s="99"/>
      <c r="C5" s="97"/>
      <c r="D5" s="97"/>
      <c r="E5" s="97"/>
    </row>
    <row r="6" spans="1:5" ht="20.45" customHeight="1">
      <c r="A6" s="100" t="s">
        <v>68</v>
      </c>
      <c r="B6" s="100" t="s">
        <v>69</v>
      </c>
      <c r="C6" s="100" t="s">
        <v>96</v>
      </c>
      <c r="D6" s="100" t="s">
        <v>100</v>
      </c>
      <c r="E6" s="100" t="s">
        <v>101</v>
      </c>
    </row>
    <row r="7" spans="1:5" ht="22.9" customHeight="1">
      <c r="A7" s="101"/>
      <c r="B7" s="322"/>
      <c r="C7" s="101"/>
      <c r="D7" s="101"/>
      <c r="E7" s="101"/>
    </row>
    <row r="8" spans="1:5" ht="22.9" customHeight="1">
      <c r="A8" s="101"/>
      <c r="B8" s="322"/>
      <c r="C8" s="101"/>
      <c r="D8" s="101"/>
      <c r="E8" s="101"/>
    </row>
    <row r="9" spans="1:5" ht="22.9" customHeight="1">
      <c r="A9" s="101"/>
      <c r="B9" s="322"/>
      <c r="C9" s="101"/>
      <c r="D9" s="101"/>
      <c r="E9" s="101"/>
    </row>
    <row r="10" spans="1:5" ht="22.9" customHeight="1">
      <c r="A10" s="101"/>
      <c r="B10" s="322"/>
      <c r="C10" s="101"/>
      <c r="D10" s="101"/>
      <c r="E10" s="101"/>
    </row>
    <row r="11" spans="1:5" ht="22.9" customHeight="1">
      <c r="A11" s="101"/>
      <c r="B11" s="322"/>
      <c r="C11" s="101"/>
      <c r="D11" s="101"/>
      <c r="E11" s="101"/>
    </row>
    <row r="12" spans="1:5" ht="22.9" customHeight="1">
      <c r="A12" s="101"/>
      <c r="B12" s="323"/>
      <c r="C12" s="101"/>
      <c r="D12" s="101"/>
      <c r="E12" s="101"/>
    </row>
    <row r="13" spans="1:5" ht="22.9" customHeight="1">
      <c r="A13" s="101"/>
      <c r="B13" s="322"/>
      <c r="C13" s="101"/>
      <c r="D13" s="101"/>
      <c r="E13" s="101"/>
    </row>
    <row r="14" spans="1:5" ht="22.9" customHeight="1">
      <c r="A14" s="101"/>
      <c r="B14" s="322"/>
      <c r="C14" s="101"/>
      <c r="D14" s="101"/>
      <c r="E14" s="101"/>
    </row>
    <row r="15" spans="1:5" ht="22.9" customHeight="1">
      <c r="A15" s="101"/>
      <c r="B15" s="322"/>
      <c r="C15" s="101"/>
      <c r="D15" s="101"/>
      <c r="E15" s="101"/>
    </row>
    <row r="16" spans="1:5" ht="22.9" customHeight="1">
      <c r="A16" s="101"/>
      <c r="B16" s="322"/>
      <c r="C16" s="101"/>
      <c r="D16" s="101"/>
      <c r="E16" s="101"/>
    </row>
    <row r="17" spans="1:5" ht="22.9" customHeight="1">
      <c r="A17" s="101"/>
      <c r="B17" s="322"/>
      <c r="C17" s="101"/>
      <c r="D17" s="101"/>
      <c r="E17" s="101"/>
    </row>
    <row r="18" spans="1:5" ht="22.9" customHeight="1">
      <c r="A18" s="101"/>
      <c r="B18" s="322"/>
      <c r="C18" s="101"/>
      <c r="D18" s="101"/>
      <c r="E18" s="101"/>
    </row>
    <row r="19" spans="1:5" ht="22.9" customHeight="1">
      <c r="A19" s="101"/>
      <c r="B19" s="322"/>
      <c r="C19" s="101"/>
      <c r="D19" s="101"/>
      <c r="E19" s="101"/>
    </row>
    <row r="20" spans="1:5" ht="22.9" customHeight="1">
      <c r="A20" s="101"/>
      <c r="B20" s="322"/>
      <c r="C20" s="101"/>
      <c r="D20" s="101"/>
      <c r="E20" s="101"/>
    </row>
    <row r="21" spans="1:5" ht="22.9" customHeight="1">
      <c r="A21" s="101"/>
      <c r="B21" s="322"/>
      <c r="C21" s="101"/>
      <c r="D21" s="101"/>
      <c r="E21" s="101"/>
    </row>
    <row r="22" spans="1:5" ht="22.9" customHeight="1">
      <c r="A22" s="101"/>
      <c r="B22" s="322"/>
      <c r="C22" s="101"/>
      <c r="D22" s="101"/>
      <c r="E22" s="101"/>
    </row>
  </sheetData>
  <mergeCells count="1">
    <mergeCell ref="A1:B1"/>
  </mergeCells>
  <phoneticPr fontId="11"/>
  <dataValidations count="1">
    <dataValidation type="list" allowBlank="1" showInputMessage="1" showErrorMessage="1" sqref="E4" xr:uid="{217D171C-B7AC-465F-9C34-B2382DFCD367}">
      <formula1>"2tまで,4tまで,特になし,2tロング不可"</formula1>
    </dataValidation>
  </dataValidations>
  <printOptions horizontalCentered="1" verticalCentered="1"/>
  <pageMargins left="0.25" right="0.25" top="0.75" bottom="0.75" header="0.3" footer="0.3"/>
  <pageSetup paperSize="9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61F6D-317D-4AB1-A6A2-F79A91757CA6}">
  <sheetPr codeName="Sheet8">
    <tabColor theme="0"/>
  </sheetPr>
  <dimension ref="A1:E22"/>
  <sheetViews>
    <sheetView workbookViewId="0">
      <selection activeCell="A7" sqref="A7"/>
    </sheetView>
  </sheetViews>
  <sheetFormatPr defaultColWidth="8.875" defaultRowHeight="13.5"/>
  <cols>
    <col min="1" max="1" width="25.5" style="98" customWidth="1"/>
    <col min="2" max="2" width="59.75" style="98" customWidth="1"/>
    <col min="3" max="3" width="17.5" style="98" customWidth="1"/>
    <col min="4" max="4" width="23.75" style="98" customWidth="1"/>
    <col min="5" max="5" width="18.875" style="98" customWidth="1"/>
    <col min="6" max="16384" width="8.875" style="98"/>
  </cols>
  <sheetData>
    <row r="1" spans="1:5" ht="43.15" customHeight="1" thickBot="1">
      <c r="A1" s="433" t="s">
        <v>106</v>
      </c>
      <c r="B1" s="433"/>
      <c r="C1" s="103"/>
      <c r="D1" s="104" t="s">
        <v>108</v>
      </c>
      <c r="E1" s="105">
        <f ca="1">TODAY()</f>
        <v>44237</v>
      </c>
    </row>
    <row r="2" spans="1:5" ht="20.45" customHeight="1" thickTop="1">
      <c r="A2" s="97"/>
      <c r="B2" s="97"/>
      <c r="C2" s="97"/>
      <c r="D2" s="97"/>
      <c r="E2" s="97"/>
    </row>
    <row r="3" spans="1:5" ht="20.45" customHeight="1">
      <c r="A3" s="100" t="s">
        <v>102</v>
      </c>
      <c r="B3" s="100">
        <f>発注書1!B3</f>
        <v>0</v>
      </c>
      <c r="C3" s="97"/>
      <c r="D3" s="100" t="s">
        <v>103</v>
      </c>
      <c r="E3" s="100"/>
    </row>
    <row r="4" spans="1:5" ht="20.45" customHeight="1">
      <c r="A4" s="100" t="s">
        <v>105</v>
      </c>
      <c r="B4" s="100">
        <f>発注書1!B4</f>
        <v>0</v>
      </c>
      <c r="C4" s="97"/>
      <c r="D4" s="100" t="s">
        <v>104</v>
      </c>
      <c r="E4" s="100" t="s">
        <v>107</v>
      </c>
    </row>
    <row r="5" spans="1:5" ht="20.45" customHeight="1">
      <c r="A5" s="97"/>
      <c r="B5" s="97"/>
      <c r="C5" s="97"/>
      <c r="D5" s="97"/>
      <c r="E5" s="97"/>
    </row>
    <row r="6" spans="1:5" ht="20.45" customHeight="1">
      <c r="A6" s="100" t="s">
        <v>68</v>
      </c>
      <c r="B6" s="100" t="s">
        <v>69</v>
      </c>
      <c r="C6" s="100" t="s">
        <v>96</v>
      </c>
      <c r="D6" s="100" t="s">
        <v>100</v>
      </c>
      <c r="E6" s="100" t="s">
        <v>101</v>
      </c>
    </row>
    <row r="7" spans="1:5" ht="22.9" customHeight="1">
      <c r="A7" s="101"/>
      <c r="B7" s="101"/>
      <c r="C7" s="101"/>
      <c r="D7" s="101"/>
      <c r="E7" s="101"/>
    </row>
    <row r="8" spans="1:5" ht="22.9" customHeight="1">
      <c r="A8" s="101"/>
      <c r="B8" s="101"/>
      <c r="C8" s="101"/>
      <c r="D8" s="101"/>
      <c r="E8" s="101"/>
    </row>
    <row r="9" spans="1:5" ht="22.9" customHeight="1">
      <c r="A9" s="101"/>
      <c r="B9" s="101"/>
      <c r="C9" s="101"/>
      <c r="D9" s="101"/>
      <c r="E9" s="101"/>
    </row>
    <row r="10" spans="1:5" ht="22.9" customHeight="1">
      <c r="A10" s="101"/>
      <c r="B10" s="101"/>
      <c r="C10" s="101"/>
      <c r="D10" s="101"/>
      <c r="E10" s="101"/>
    </row>
    <row r="11" spans="1:5" ht="22.9" customHeight="1">
      <c r="A11" s="101"/>
      <c r="B11" s="101"/>
      <c r="C11" s="101"/>
      <c r="D11" s="101"/>
      <c r="E11" s="101"/>
    </row>
    <row r="12" spans="1:5" ht="22.9" customHeight="1">
      <c r="A12" s="101"/>
      <c r="B12" s="106"/>
      <c r="C12" s="101"/>
      <c r="D12" s="101"/>
      <c r="E12" s="101"/>
    </row>
    <row r="13" spans="1:5" ht="22.9" customHeight="1">
      <c r="A13" s="101"/>
      <c r="B13" s="101"/>
      <c r="C13" s="101"/>
      <c r="D13" s="101"/>
      <c r="E13" s="101"/>
    </row>
    <row r="14" spans="1:5" ht="22.9" customHeight="1">
      <c r="A14" s="101"/>
      <c r="B14" s="101"/>
      <c r="C14" s="101"/>
      <c r="D14" s="101"/>
      <c r="E14" s="101"/>
    </row>
    <row r="15" spans="1:5" ht="22.9" customHeight="1">
      <c r="A15" s="101"/>
      <c r="B15" s="101"/>
      <c r="C15" s="101"/>
      <c r="D15" s="101"/>
      <c r="E15" s="101"/>
    </row>
    <row r="16" spans="1:5" ht="22.9" customHeight="1">
      <c r="A16" s="101"/>
      <c r="B16" s="101"/>
      <c r="C16" s="101"/>
      <c r="D16" s="101"/>
      <c r="E16" s="101"/>
    </row>
    <row r="17" spans="1:5" ht="22.9" customHeight="1">
      <c r="A17" s="101"/>
      <c r="B17" s="101"/>
      <c r="C17" s="101"/>
      <c r="D17" s="101"/>
      <c r="E17" s="101"/>
    </row>
    <row r="18" spans="1:5" ht="22.9" customHeight="1">
      <c r="A18" s="101"/>
      <c r="B18" s="101"/>
      <c r="C18" s="101"/>
      <c r="D18" s="101"/>
      <c r="E18" s="101"/>
    </row>
    <row r="19" spans="1:5" ht="22.9" customHeight="1">
      <c r="A19" s="101"/>
      <c r="B19" s="101"/>
      <c r="C19" s="101"/>
      <c r="D19" s="101"/>
      <c r="E19" s="101"/>
    </row>
    <row r="20" spans="1:5" ht="22.9" customHeight="1">
      <c r="A20" s="101"/>
      <c r="B20" s="101"/>
      <c r="C20" s="101"/>
      <c r="D20" s="101"/>
      <c r="E20" s="101"/>
    </row>
    <row r="21" spans="1:5" ht="22.9" customHeight="1">
      <c r="A21" s="101"/>
      <c r="B21" s="101"/>
      <c r="C21" s="101"/>
      <c r="D21" s="101"/>
      <c r="E21" s="101"/>
    </row>
    <row r="22" spans="1:5" ht="22.9" customHeight="1">
      <c r="A22" s="101"/>
      <c r="B22" s="101"/>
      <c r="C22" s="101"/>
      <c r="D22" s="101"/>
      <c r="E22" s="101"/>
    </row>
  </sheetData>
  <mergeCells count="1">
    <mergeCell ref="A1:B1"/>
  </mergeCells>
  <phoneticPr fontId="11"/>
  <dataValidations count="1">
    <dataValidation type="list" allowBlank="1" showInputMessage="1" showErrorMessage="1" sqref="E4" xr:uid="{EB331D15-345A-41D1-99CF-73AE8D6949B2}">
      <formula1>"2tまで,4tまで,特になし,2tロング不可"</formula1>
    </dataValidation>
  </dataValidations>
  <printOptions horizontalCentered="1" verticalCentered="1"/>
  <pageMargins left="0.25" right="0.25" top="0.75" bottom="0.75" header="0.3" footer="0.3"/>
  <pageSetup paperSize="9" orientation="landscape" horizontalDpi="300" verticalDpi="3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93D4C-696C-4C10-8767-C35BC8317EC0}">
  <sheetPr codeName="Sheet9">
    <tabColor rgb="FF00B050"/>
  </sheetPr>
  <dimension ref="A1:J7"/>
  <sheetViews>
    <sheetView topLeftCell="B1" workbookViewId="0">
      <selection activeCell="B3" sqref="B3"/>
    </sheetView>
  </sheetViews>
  <sheetFormatPr defaultColWidth="12.5" defaultRowHeight="20.25" customHeight="1"/>
  <cols>
    <col min="1" max="1" width="15.5" style="59" customWidth="1"/>
    <col min="2" max="2" width="16.375" style="59" customWidth="1"/>
    <col min="3" max="3" width="51.125" customWidth="1"/>
    <col min="4" max="4" width="18.875" customWidth="1"/>
    <col min="5" max="5" width="10.625" customWidth="1"/>
    <col min="6" max="6" width="18.625" customWidth="1"/>
    <col min="7" max="7" width="5.75" customWidth="1"/>
    <col min="8" max="8" width="19" customWidth="1"/>
    <col min="9" max="9" width="24.5" style="56" customWidth="1"/>
    <col min="10" max="10" width="18.5" style="63" customWidth="1"/>
  </cols>
  <sheetData>
    <row r="1" spans="1:10" ht="20.25" customHeight="1">
      <c r="A1" s="56"/>
      <c r="B1" s="56"/>
      <c r="H1" s="56"/>
      <c r="I1" s="63"/>
      <c r="J1"/>
    </row>
    <row r="2" spans="1:10" s="56" customFormat="1" ht="20.25" customHeight="1">
      <c r="A2" s="55" t="s">
        <v>95</v>
      </c>
      <c r="B2" s="55" t="s">
        <v>68</v>
      </c>
      <c r="C2" s="55" t="s">
        <v>69</v>
      </c>
      <c r="D2" s="55" t="s">
        <v>70</v>
      </c>
      <c r="E2" s="55" t="s">
        <v>71</v>
      </c>
      <c r="F2" s="55" t="s">
        <v>72</v>
      </c>
      <c r="H2" s="136" t="s">
        <v>89</v>
      </c>
      <c r="I2" s="137">
        <f>'2枚用'!C10</f>
        <v>0</v>
      </c>
    </row>
    <row r="3" spans="1:10" s="59" customFormat="1" ht="20.25" customHeight="1">
      <c r="A3" s="58"/>
      <c r="B3" s="58"/>
      <c r="C3" s="58"/>
      <c r="D3" s="60"/>
      <c r="E3" s="61"/>
      <c r="F3" s="60">
        <f t="shared" ref="F3:F7" si="0">+D3*E3</f>
        <v>0</v>
      </c>
      <c r="H3" s="136" t="s">
        <v>90</v>
      </c>
      <c r="I3" s="137">
        <f>SUM(F1:F100)*1.1</f>
        <v>0</v>
      </c>
    </row>
    <row r="4" spans="1:10" ht="20.25" customHeight="1">
      <c r="A4" s="58"/>
      <c r="B4" s="58"/>
      <c r="C4" s="54"/>
      <c r="D4" s="57"/>
      <c r="F4" s="60">
        <f t="shared" si="0"/>
        <v>0</v>
      </c>
      <c r="H4" s="136" t="s">
        <v>91</v>
      </c>
      <c r="I4" s="137">
        <f>(仕切り1!E7+仕切り2!E7)</f>
        <v>0</v>
      </c>
      <c r="J4"/>
    </row>
    <row r="5" spans="1:10" ht="20.25" customHeight="1">
      <c r="A5" s="58"/>
      <c r="B5" s="58"/>
      <c r="F5" s="62">
        <f t="shared" si="0"/>
        <v>0</v>
      </c>
      <c r="H5" s="136" t="s">
        <v>92</v>
      </c>
      <c r="I5" s="137">
        <f>I2-I3-I4</f>
        <v>0</v>
      </c>
      <c r="J5"/>
    </row>
    <row r="6" spans="1:10" ht="20.25" customHeight="1">
      <c r="A6" s="58"/>
      <c r="B6" s="58"/>
      <c r="F6" s="62">
        <f t="shared" si="0"/>
        <v>0</v>
      </c>
      <c r="H6" s="136" t="s">
        <v>93</v>
      </c>
      <c r="I6" s="138" t="e">
        <f>I5/I2</f>
        <v>#DIV/0!</v>
      </c>
      <c r="J6"/>
    </row>
    <row r="7" spans="1:10" ht="20.25" customHeight="1">
      <c r="A7" s="58"/>
      <c r="B7" s="58"/>
      <c r="C7" s="54"/>
      <c r="F7" s="62">
        <f t="shared" si="0"/>
        <v>0</v>
      </c>
      <c r="H7" s="56"/>
      <c r="I7" s="63"/>
      <c r="J7"/>
    </row>
  </sheetData>
  <phoneticPr fontId="1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BD0D-ED01-4A64-8199-2353C348792F}">
  <sheetPr codeName="Sheet10">
    <tabColor rgb="FF00B050"/>
  </sheetPr>
  <dimension ref="A1:J98"/>
  <sheetViews>
    <sheetView workbookViewId="0">
      <selection activeCell="B3" sqref="B3:E3"/>
    </sheetView>
  </sheetViews>
  <sheetFormatPr defaultColWidth="9" defaultRowHeight="13.5"/>
  <cols>
    <col min="1" max="1" width="3.375" style="65" customWidth="1"/>
    <col min="2" max="2" width="3.875" style="65" customWidth="1"/>
    <col min="3" max="3" width="5.25" style="65" customWidth="1"/>
    <col min="4" max="4" width="7.875" style="65" customWidth="1"/>
    <col min="5" max="5" width="19" style="65" customWidth="1"/>
    <col min="6" max="6" width="7.25" style="65" customWidth="1"/>
    <col min="7" max="7" width="6" style="65" customWidth="1"/>
    <col min="8" max="8" width="11.875" style="66" customWidth="1"/>
    <col min="9" max="9" width="10" style="65" customWidth="1"/>
    <col min="10" max="10" width="2.875" style="65" customWidth="1"/>
    <col min="11" max="16384" width="9" style="65"/>
  </cols>
  <sheetData>
    <row r="1" spans="1:10" ht="18" customHeight="1">
      <c r="A1" s="64" t="s">
        <v>73</v>
      </c>
      <c r="B1" s="64"/>
      <c r="E1" s="446" t="s">
        <v>74</v>
      </c>
      <c r="F1" s="446"/>
      <c r="H1" s="447">
        <f ca="1">TODAY()</f>
        <v>44237</v>
      </c>
      <c r="I1" s="447"/>
      <c r="J1" s="447"/>
    </row>
    <row r="2" spans="1:10" ht="9.9499999999999993" customHeight="1">
      <c r="J2" s="67"/>
    </row>
    <row r="3" spans="1:10" ht="30" customHeight="1">
      <c r="A3" s="68"/>
      <c r="B3" s="448"/>
      <c r="C3" s="448"/>
      <c r="D3" s="448"/>
      <c r="E3" s="448"/>
      <c r="F3" s="64" t="s">
        <v>75</v>
      </c>
      <c r="H3" s="449" t="s">
        <v>76</v>
      </c>
      <c r="I3" s="449"/>
      <c r="J3" s="449"/>
    </row>
    <row r="4" spans="1:10" ht="9.75" customHeight="1">
      <c r="A4" s="69"/>
      <c r="B4" s="69"/>
      <c r="C4" s="69"/>
      <c r="D4" s="69"/>
      <c r="E4" s="69"/>
      <c r="H4" s="70"/>
      <c r="I4" s="71"/>
      <c r="J4" s="71"/>
    </row>
    <row r="5" spans="1:10" ht="24.75" customHeight="1">
      <c r="A5" s="450" t="s">
        <v>77</v>
      </c>
      <c r="B5" s="450"/>
      <c r="C5" s="450"/>
      <c r="D5" s="450"/>
      <c r="E5" s="450"/>
      <c r="H5" s="70"/>
      <c r="I5" s="71"/>
      <c r="J5" s="71" t="s">
        <v>94</v>
      </c>
    </row>
    <row r="6" spans="1:10" ht="5.0999999999999996" customHeight="1"/>
    <row r="7" spans="1:10" ht="16.5" customHeight="1">
      <c r="A7" s="434" t="s">
        <v>78</v>
      </c>
      <c r="B7" s="434"/>
      <c r="C7" s="434"/>
      <c r="D7" s="434"/>
      <c r="E7" s="436">
        <f>I35*1.1</f>
        <v>0</v>
      </c>
      <c r="F7" s="437"/>
      <c r="G7" s="72" t="s">
        <v>79</v>
      </c>
      <c r="H7" s="440" t="s">
        <v>80</v>
      </c>
      <c r="I7" s="442">
        <f>I35*0.1</f>
        <v>0</v>
      </c>
      <c r="J7" s="443"/>
    </row>
    <row r="8" spans="1:10" ht="14.25" customHeight="1">
      <c r="A8" s="435"/>
      <c r="B8" s="434"/>
      <c r="C8" s="434"/>
      <c r="D8" s="434"/>
      <c r="E8" s="438"/>
      <c r="F8" s="439"/>
      <c r="G8" s="73">
        <v>0.1</v>
      </c>
      <c r="H8" s="441"/>
      <c r="I8" s="444"/>
      <c r="J8" s="445"/>
    </row>
    <row r="9" spans="1:10" ht="14.25" customHeight="1">
      <c r="A9" s="74"/>
      <c r="B9" s="75"/>
      <c r="C9" s="75"/>
      <c r="D9" s="75"/>
      <c r="E9" s="76"/>
      <c r="F9" s="77"/>
      <c r="G9" s="78"/>
      <c r="H9" s="79"/>
      <c r="I9" s="80"/>
      <c r="J9" s="81"/>
    </row>
    <row r="10" spans="1:10" ht="18" customHeight="1">
      <c r="A10" s="82" t="s">
        <v>81</v>
      </c>
      <c r="B10" s="83" t="s">
        <v>82</v>
      </c>
      <c r="C10" s="451" t="s">
        <v>83</v>
      </c>
      <c r="D10" s="452"/>
      <c r="E10" s="453"/>
      <c r="F10" s="83" t="s">
        <v>84</v>
      </c>
      <c r="G10" s="83" t="s">
        <v>85</v>
      </c>
      <c r="H10" s="84" t="s">
        <v>86</v>
      </c>
      <c r="I10" s="454" t="s">
        <v>87</v>
      </c>
      <c r="J10" s="454"/>
    </row>
    <row r="11" spans="1:10" ht="18" customHeight="1">
      <c r="A11" s="85"/>
      <c r="B11" s="85"/>
      <c r="C11" s="455"/>
      <c r="D11" s="456"/>
      <c r="E11" s="457"/>
      <c r="F11" s="86"/>
      <c r="G11" s="87"/>
      <c r="H11" s="88"/>
      <c r="I11" s="458">
        <f t="shared" ref="I11:I34" si="0">F11*H11</f>
        <v>0</v>
      </c>
      <c r="J11" s="459"/>
    </row>
    <row r="12" spans="1:10" ht="18" customHeight="1">
      <c r="A12" s="85"/>
      <c r="B12" s="85"/>
      <c r="C12" s="455"/>
      <c r="D12" s="456"/>
      <c r="E12" s="457"/>
      <c r="F12" s="86"/>
      <c r="G12" s="87"/>
      <c r="H12" s="88"/>
      <c r="I12" s="458">
        <f t="shared" si="0"/>
        <v>0</v>
      </c>
      <c r="J12" s="459"/>
    </row>
    <row r="13" spans="1:10" ht="18" customHeight="1">
      <c r="A13" s="85"/>
      <c r="B13" s="85"/>
      <c r="C13" s="455"/>
      <c r="D13" s="456"/>
      <c r="E13" s="457"/>
      <c r="F13" s="86"/>
      <c r="G13" s="87"/>
      <c r="H13" s="88"/>
      <c r="I13" s="458">
        <f>F13*H13</f>
        <v>0</v>
      </c>
      <c r="J13" s="459"/>
    </row>
    <row r="14" spans="1:10" ht="18" customHeight="1">
      <c r="A14" s="85"/>
      <c r="B14" s="85"/>
      <c r="C14" s="455"/>
      <c r="D14" s="456"/>
      <c r="E14" s="457"/>
      <c r="F14" s="86"/>
      <c r="G14" s="87"/>
      <c r="H14" s="88"/>
      <c r="I14" s="458">
        <f t="shared" si="0"/>
        <v>0</v>
      </c>
      <c r="J14" s="459"/>
    </row>
    <row r="15" spans="1:10" ht="18" customHeight="1">
      <c r="A15" s="85"/>
      <c r="B15" s="85"/>
      <c r="C15" s="455"/>
      <c r="D15" s="456"/>
      <c r="E15" s="457"/>
      <c r="F15" s="86"/>
      <c r="G15" s="87"/>
      <c r="H15" s="88"/>
      <c r="I15" s="458">
        <f t="shared" si="0"/>
        <v>0</v>
      </c>
      <c r="J15" s="459"/>
    </row>
    <row r="16" spans="1:10" ht="18" customHeight="1">
      <c r="A16" s="85"/>
      <c r="B16" s="85"/>
      <c r="C16" s="455"/>
      <c r="D16" s="456"/>
      <c r="E16" s="457"/>
      <c r="F16" s="86"/>
      <c r="G16" s="87"/>
      <c r="H16" s="88"/>
      <c r="I16" s="458">
        <f t="shared" si="0"/>
        <v>0</v>
      </c>
      <c r="J16" s="459"/>
    </row>
    <row r="17" spans="1:10" ht="18" customHeight="1">
      <c r="A17" s="85"/>
      <c r="B17" s="85"/>
      <c r="C17" s="455"/>
      <c r="D17" s="456"/>
      <c r="E17" s="457"/>
      <c r="F17" s="86"/>
      <c r="G17" s="87"/>
      <c r="H17" s="88"/>
      <c r="I17" s="458">
        <f t="shared" si="0"/>
        <v>0</v>
      </c>
      <c r="J17" s="459"/>
    </row>
    <row r="18" spans="1:10" ht="18" customHeight="1">
      <c r="A18" s="85"/>
      <c r="B18" s="85"/>
      <c r="C18" s="455"/>
      <c r="D18" s="456"/>
      <c r="E18" s="457"/>
      <c r="F18" s="86"/>
      <c r="G18" s="87"/>
      <c r="H18" s="88"/>
      <c r="I18" s="458">
        <f>F18*H18</f>
        <v>0</v>
      </c>
      <c r="J18" s="459"/>
    </row>
    <row r="19" spans="1:10" ht="18" customHeight="1">
      <c r="A19" s="85"/>
      <c r="B19" s="85"/>
      <c r="C19" s="455"/>
      <c r="D19" s="456"/>
      <c r="E19" s="457"/>
      <c r="F19" s="86"/>
      <c r="G19" s="87"/>
      <c r="H19" s="88"/>
      <c r="I19" s="458">
        <f t="shared" si="0"/>
        <v>0</v>
      </c>
      <c r="J19" s="459"/>
    </row>
    <row r="20" spans="1:10" ht="18" customHeight="1">
      <c r="A20" s="85"/>
      <c r="B20" s="85"/>
      <c r="C20" s="455"/>
      <c r="D20" s="456"/>
      <c r="E20" s="457"/>
      <c r="F20" s="86"/>
      <c r="G20" s="87"/>
      <c r="H20" s="88"/>
      <c r="I20" s="458">
        <f t="shared" si="0"/>
        <v>0</v>
      </c>
      <c r="J20" s="459"/>
    </row>
    <row r="21" spans="1:10" ht="18" customHeight="1">
      <c r="A21" s="85"/>
      <c r="B21" s="85"/>
      <c r="C21" s="455"/>
      <c r="D21" s="456"/>
      <c r="E21" s="457"/>
      <c r="F21" s="86"/>
      <c r="G21" s="87"/>
      <c r="H21" s="88"/>
      <c r="I21" s="458">
        <f t="shared" si="0"/>
        <v>0</v>
      </c>
      <c r="J21" s="459"/>
    </row>
    <row r="22" spans="1:10" ht="18" customHeight="1">
      <c r="A22" s="85"/>
      <c r="B22" s="85"/>
      <c r="C22" s="455"/>
      <c r="D22" s="456"/>
      <c r="E22" s="457"/>
      <c r="F22" s="86"/>
      <c r="G22" s="87"/>
      <c r="H22" s="88"/>
      <c r="I22" s="458">
        <f t="shared" si="0"/>
        <v>0</v>
      </c>
      <c r="J22" s="459"/>
    </row>
    <row r="23" spans="1:10" ht="18" customHeight="1">
      <c r="A23" s="85"/>
      <c r="B23" s="85"/>
      <c r="C23" s="455"/>
      <c r="D23" s="456"/>
      <c r="E23" s="457"/>
      <c r="F23" s="86"/>
      <c r="G23" s="87"/>
      <c r="H23" s="88"/>
      <c r="I23" s="458">
        <f>F23*H23</f>
        <v>0</v>
      </c>
      <c r="J23" s="459"/>
    </row>
    <row r="24" spans="1:10" ht="18" customHeight="1">
      <c r="A24" s="85"/>
      <c r="B24" s="85"/>
      <c r="C24" s="455"/>
      <c r="D24" s="456"/>
      <c r="E24" s="457"/>
      <c r="F24" s="86"/>
      <c r="G24" s="87"/>
      <c r="H24" s="88"/>
      <c r="I24" s="458">
        <f t="shared" ref="I24" si="1">F24*H24</f>
        <v>0</v>
      </c>
      <c r="J24" s="459"/>
    </row>
    <row r="25" spans="1:10" ht="18" customHeight="1">
      <c r="A25" s="85"/>
      <c r="B25" s="85"/>
      <c r="C25" s="460"/>
      <c r="D25" s="461"/>
      <c r="E25" s="462"/>
      <c r="F25" s="86"/>
      <c r="G25" s="87"/>
      <c r="H25" s="88"/>
      <c r="I25" s="458">
        <f t="shared" si="0"/>
        <v>0</v>
      </c>
      <c r="J25" s="459"/>
    </row>
    <row r="26" spans="1:10" ht="18" customHeight="1">
      <c r="A26" s="85"/>
      <c r="B26" s="85"/>
      <c r="C26" s="455"/>
      <c r="D26" s="456"/>
      <c r="E26" s="457"/>
      <c r="F26" s="86"/>
      <c r="G26" s="87"/>
      <c r="H26" s="88"/>
      <c r="I26" s="458">
        <f t="shared" si="0"/>
        <v>0</v>
      </c>
      <c r="J26" s="459"/>
    </row>
    <row r="27" spans="1:10" ht="18" customHeight="1">
      <c r="A27" s="85"/>
      <c r="B27" s="85"/>
      <c r="C27" s="460"/>
      <c r="D27" s="461"/>
      <c r="E27" s="462"/>
      <c r="F27" s="86"/>
      <c r="G27" s="87"/>
      <c r="H27" s="88"/>
      <c r="I27" s="458">
        <f t="shared" si="0"/>
        <v>0</v>
      </c>
      <c r="J27" s="459"/>
    </row>
    <row r="28" spans="1:10" ht="18" customHeight="1">
      <c r="A28" s="85"/>
      <c r="B28" s="85"/>
      <c r="C28" s="460"/>
      <c r="D28" s="461"/>
      <c r="E28" s="462"/>
      <c r="F28" s="86"/>
      <c r="G28" s="87"/>
      <c r="H28" s="88"/>
      <c r="I28" s="458">
        <f t="shared" si="0"/>
        <v>0</v>
      </c>
      <c r="J28" s="459"/>
    </row>
    <row r="29" spans="1:10" ht="18" customHeight="1">
      <c r="A29" s="85"/>
      <c r="B29" s="85"/>
      <c r="C29" s="460"/>
      <c r="D29" s="461"/>
      <c r="E29" s="462"/>
      <c r="F29" s="86"/>
      <c r="G29" s="87"/>
      <c r="H29" s="88"/>
      <c r="I29" s="458">
        <f t="shared" si="0"/>
        <v>0</v>
      </c>
      <c r="J29" s="459"/>
    </row>
    <row r="30" spans="1:10" ht="18" customHeight="1">
      <c r="A30" s="85"/>
      <c r="B30" s="85"/>
      <c r="C30" s="460"/>
      <c r="D30" s="461"/>
      <c r="E30" s="462"/>
      <c r="F30" s="86"/>
      <c r="G30" s="87"/>
      <c r="H30" s="88"/>
      <c r="I30" s="458">
        <f t="shared" si="0"/>
        <v>0</v>
      </c>
      <c r="J30" s="459"/>
    </row>
    <row r="31" spans="1:10" ht="18" customHeight="1">
      <c r="A31" s="85"/>
      <c r="B31" s="85"/>
      <c r="C31" s="455"/>
      <c r="D31" s="456"/>
      <c r="E31" s="457"/>
      <c r="F31" s="86"/>
      <c r="G31" s="87"/>
      <c r="H31" s="88"/>
      <c r="I31" s="458">
        <f t="shared" si="0"/>
        <v>0</v>
      </c>
      <c r="J31" s="459"/>
    </row>
    <row r="32" spans="1:10" ht="18" customHeight="1">
      <c r="A32" s="85"/>
      <c r="B32" s="85"/>
      <c r="C32" s="467"/>
      <c r="D32" s="468"/>
      <c r="E32" s="469"/>
      <c r="F32" s="86"/>
      <c r="G32" s="87"/>
      <c r="H32" s="88"/>
      <c r="I32" s="458">
        <f t="shared" si="0"/>
        <v>0</v>
      </c>
      <c r="J32" s="459"/>
    </row>
    <row r="33" spans="1:10" ht="18" customHeight="1">
      <c r="A33" s="85"/>
      <c r="B33" s="85"/>
      <c r="C33" s="467"/>
      <c r="D33" s="468"/>
      <c r="E33" s="469"/>
      <c r="F33" s="86"/>
      <c r="G33" s="87"/>
      <c r="H33" s="88"/>
      <c r="I33" s="458">
        <f t="shared" si="0"/>
        <v>0</v>
      </c>
      <c r="J33" s="459"/>
    </row>
    <row r="34" spans="1:10" ht="18" customHeight="1">
      <c r="A34" s="85"/>
      <c r="B34" s="85"/>
      <c r="C34" s="460"/>
      <c r="D34" s="461"/>
      <c r="E34" s="462"/>
      <c r="F34" s="86"/>
      <c r="G34" s="87"/>
      <c r="H34" s="88"/>
      <c r="I34" s="458">
        <f t="shared" si="0"/>
        <v>0</v>
      </c>
      <c r="J34" s="459"/>
    </row>
    <row r="35" spans="1:10" ht="18" customHeight="1">
      <c r="A35" s="463" t="s">
        <v>88</v>
      </c>
      <c r="B35" s="464"/>
      <c r="C35" s="464"/>
      <c r="D35" s="464"/>
      <c r="E35" s="465"/>
      <c r="F35" s="86"/>
      <c r="G35" s="87"/>
      <c r="H35" s="88"/>
      <c r="I35" s="466">
        <f>SUM(I11:J34)</f>
        <v>0</v>
      </c>
      <c r="J35" s="466"/>
    </row>
    <row r="36" spans="1:10" ht="18" customHeight="1">
      <c r="F36" s="89"/>
      <c r="G36" s="89"/>
      <c r="H36" s="79"/>
      <c r="I36" s="89"/>
      <c r="J36" s="89"/>
    </row>
    <row r="37" spans="1:10" ht="18" customHeight="1">
      <c r="F37" s="89"/>
      <c r="G37" s="89"/>
      <c r="H37" s="79"/>
      <c r="I37" s="89"/>
      <c r="J37" s="89"/>
    </row>
    <row r="38" spans="1:10" ht="18" customHeight="1">
      <c r="F38" s="89"/>
      <c r="G38" s="89"/>
      <c r="H38" s="79"/>
      <c r="I38" s="89"/>
      <c r="J38" s="89"/>
    </row>
    <row r="39" spans="1:10" ht="18" customHeight="1">
      <c r="F39" s="89"/>
      <c r="G39" s="89"/>
      <c r="H39" s="79"/>
      <c r="I39" s="89"/>
      <c r="J39" s="89"/>
    </row>
    <row r="40" spans="1:10" ht="18" customHeight="1">
      <c r="F40" s="89"/>
      <c r="G40" s="89"/>
      <c r="H40" s="79"/>
      <c r="I40" s="89"/>
      <c r="J40" s="89"/>
    </row>
    <row r="41" spans="1:10" ht="18" customHeight="1">
      <c r="F41" s="89"/>
      <c r="G41" s="89"/>
      <c r="H41" s="79"/>
      <c r="I41" s="89"/>
      <c r="J41" s="89"/>
    </row>
    <row r="42" spans="1:10" ht="18" customHeight="1">
      <c r="F42" s="89"/>
      <c r="G42" s="89"/>
      <c r="H42" s="79"/>
      <c r="I42" s="89"/>
      <c r="J42" s="89"/>
    </row>
    <row r="43" spans="1:10" ht="18" customHeight="1">
      <c r="F43" s="89"/>
      <c r="G43" s="89"/>
      <c r="H43" s="79"/>
      <c r="I43" s="89"/>
      <c r="J43" s="89"/>
    </row>
    <row r="44" spans="1:10" ht="18" customHeight="1">
      <c r="F44" s="89"/>
      <c r="G44" s="89"/>
      <c r="H44" s="79"/>
      <c r="I44" s="89"/>
      <c r="J44" s="89"/>
    </row>
    <row r="45" spans="1:10" ht="18" customHeight="1">
      <c r="F45" s="89"/>
      <c r="G45" s="89"/>
      <c r="H45" s="79"/>
      <c r="I45" s="89"/>
      <c r="J45" s="89"/>
    </row>
    <row r="46" spans="1:10" ht="18" customHeight="1">
      <c r="F46" s="89"/>
      <c r="G46" s="89"/>
      <c r="H46" s="79"/>
      <c r="I46" s="89"/>
      <c r="J46" s="89"/>
    </row>
    <row r="47" spans="1:10">
      <c r="F47" s="89"/>
      <c r="G47" s="89"/>
      <c r="H47" s="79"/>
      <c r="I47" s="89"/>
      <c r="J47" s="89"/>
    </row>
    <row r="48" spans="1:10">
      <c r="F48" s="89"/>
      <c r="G48" s="89"/>
      <c r="H48" s="79"/>
      <c r="I48" s="89"/>
      <c r="J48" s="89"/>
    </row>
    <row r="49" spans="6:10">
      <c r="F49" s="89"/>
      <c r="G49" s="89"/>
      <c r="H49" s="79"/>
      <c r="I49" s="89"/>
      <c r="J49" s="89"/>
    </row>
    <row r="50" spans="6:10">
      <c r="F50" s="89"/>
      <c r="G50" s="89"/>
      <c r="H50" s="79"/>
      <c r="I50" s="89"/>
      <c r="J50" s="89"/>
    </row>
    <row r="51" spans="6:10">
      <c r="F51" s="89"/>
      <c r="G51" s="89"/>
      <c r="H51" s="79"/>
      <c r="I51" s="89"/>
      <c r="J51" s="89"/>
    </row>
    <row r="52" spans="6:10">
      <c r="F52" s="89"/>
      <c r="G52" s="89"/>
      <c r="H52" s="79"/>
      <c r="I52" s="89"/>
      <c r="J52" s="89"/>
    </row>
    <row r="53" spans="6:10">
      <c r="F53" s="89"/>
      <c r="G53" s="89"/>
      <c r="H53" s="79"/>
      <c r="I53" s="89"/>
      <c r="J53" s="89"/>
    </row>
    <row r="54" spans="6:10">
      <c r="F54" s="89"/>
      <c r="G54" s="89"/>
      <c r="H54" s="79"/>
      <c r="I54" s="89"/>
      <c r="J54" s="89"/>
    </row>
    <row r="55" spans="6:10">
      <c r="F55" s="89"/>
      <c r="G55" s="89"/>
      <c r="H55" s="79"/>
      <c r="I55" s="89"/>
      <c r="J55" s="89"/>
    </row>
    <row r="56" spans="6:10">
      <c r="F56" s="89"/>
      <c r="G56" s="89"/>
      <c r="H56" s="79"/>
      <c r="I56" s="89"/>
      <c r="J56" s="89"/>
    </row>
    <row r="57" spans="6:10">
      <c r="F57" s="89"/>
      <c r="G57" s="89"/>
      <c r="H57" s="79"/>
      <c r="I57" s="89"/>
      <c r="J57" s="89"/>
    </row>
    <row r="58" spans="6:10">
      <c r="F58" s="89"/>
      <c r="G58" s="89"/>
      <c r="H58" s="79"/>
      <c r="I58" s="89"/>
      <c r="J58" s="89"/>
    </row>
    <row r="59" spans="6:10">
      <c r="F59" s="89"/>
      <c r="G59" s="89"/>
      <c r="H59" s="79"/>
      <c r="I59" s="89"/>
      <c r="J59" s="89"/>
    </row>
    <row r="60" spans="6:10">
      <c r="F60" s="89"/>
      <c r="G60" s="89"/>
      <c r="H60" s="79"/>
      <c r="I60" s="89"/>
      <c r="J60" s="89"/>
    </row>
    <row r="61" spans="6:10">
      <c r="F61" s="89"/>
      <c r="G61" s="89"/>
      <c r="H61" s="79"/>
      <c r="I61" s="89"/>
      <c r="J61" s="89"/>
    </row>
    <row r="62" spans="6:10">
      <c r="F62" s="89"/>
      <c r="G62" s="89"/>
      <c r="H62" s="79"/>
      <c r="I62" s="89"/>
      <c r="J62" s="89"/>
    </row>
    <row r="63" spans="6:10">
      <c r="F63" s="89"/>
      <c r="G63" s="89"/>
      <c r="H63" s="79"/>
      <c r="I63" s="89"/>
      <c r="J63" s="89"/>
    </row>
    <row r="64" spans="6:10">
      <c r="F64" s="89"/>
      <c r="G64" s="89"/>
      <c r="H64" s="79"/>
      <c r="I64" s="89"/>
      <c r="J64" s="89"/>
    </row>
    <row r="65" spans="6:10">
      <c r="F65" s="89"/>
      <c r="G65" s="89"/>
      <c r="H65" s="79"/>
      <c r="I65" s="89"/>
      <c r="J65" s="89"/>
    </row>
    <row r="66" spans="6:10">
      <c r="F66" s="89"/>
      <c r="G66" s="89"/>
      <c r="H66" s="79"/>
      <c r="I66" s="89"/>
      <c r="J66" s="89"/>
    </row>
    <row r="67" spans="6:10">
      <c r="F67" s="89"/>
      <c r="G67" s="89"/>
      <c r="H67" s="79"/>
      <c r="I67" s="89"/>
      <c r="J67" s="89"/>
    </row>
    <row r="68" spans="6:10">
      <c r="F68" s="89"/>
      <c r="G68" s="89"/>
      <c r="H68" s="79"/>
      <c r="I68" s="89"/>
      <c r="J68" s="89"/>
    </row>
    <row r="69" spans="6:10">
      <c r="F69" s="89"/>
      <c r="G69" s="89"/>
      <c r="H69" s="79"/>
      <c r="I69" s="89"/>
      <c r="J69" s="89"/>
    </row>
    <row r="70" spans="6:10">
      <c r="F70" s="89"/>
      <c r="G70" s="89"/>
      <c r="H70" s="79"/>
      <c r="I70" s="89"/>
      <c r="J70" s="89"/>
    </row>
    <row r="71" spans="6:10">
      <c r="F71" s="89"/>
      <c r="G71" s="89"/>
      <c r="H71" s="79"/>
      <c r="I71" s="89"/>
      <c r="J71" s="89"/>
    </row>
    <row r="72" spans="6:10">
      <c r="F72" s="89"/>
      <c r="G72" s="89"/>
      <c r="H72" s="79"/>
      <c r="I72" s="89"/>
      <c r="J72" s="89"/>
    </row>
    <row r="73" spans="6:10">
      <c r="F73" s="89"/>
      <c r="G73" s="89"/>
      <c r="H73" s="79"/>
      <c r="I73" s="89"/>
      <c r="J73" s="89"/>
    </row>
    <row r="74" spans="6:10">
      <c r="F74" s="89"/>
      <c r="G74" s="89"/>
      <c r="H74" s="79"/>
      <c r="I74" s="89"/>
      <c r="J74" s="89"/>
    </row>
    <row r="75" spans="6:10">
      <c r="F75" s="89"/>
      <c r="G75" s="89"/>
      <c r="H75" s="79"/>
      <c r="I75" s="89"/>
      <c r="J75" s="89"/>
    </row>
    <row r="76" spans="6:10">
      <c r="F76" s="89"/>
      <c r="G76" s="89"/>
      <c r="H76" s="79"/>
      <c r="I76" s="89"/>
      <c r="J76" s="89"/>
    </row>
    <row r="77" spans="6:10">
      <c r="F77" s="89"/>
      <c r="G77" s="89"/>
      <c r="H77" s="79"/>
      <c r="I77" s="89"/>
      <c r="J77" s="89"/>
    </row>
    <row r="78" spans="6:10">
      <c r="F78" s="89"/>
      <c r="G78" s="89"/>
      <c r="H78" s="79"/>
      <c r="I78" s="89"/>
      <c r="J78" s="89"/>
    </row>
    <row r="79" spans="6:10">
      <c r="F79" s="89"/>
      <c r="G79" s="89"/>
      <c r="H79" s="79"/>
      <c r="I79" s="89"/>
      <c r="J79" s="89"/>
    </row>
    <row r="80" spans="6:10">
      <c r="F80" s="89"/>
      <c r="G80" s="89"/>
      <c r="H80" s="79"/>
      <c r="I80" s="89"/>
      <c r="J80" s="89"/>
    </row>
    <row r="81" spans="6:10">
      <c r="F81" s="89"/>
      <c r="G81" s="89"/>
      <c r="H81" s="79"/>
      <c r="I81" s="89"/>
      <c r="J81" s="89"/>
    </row>
    <row r="82" spans="6:10">
      <c r="F82" s="89"/>
      <c r="G82" s="89"/>
      <c r="H82" s="79"/>
      <c r="I82" s="89"/>
      <c r="J82" s="89"/>
    </row>
    <row r="83" spans="6:10">
      <c r="F83" s="89"/>
      <c r="G83" s="89"/>
      <c r="H83" s="79"/>
      <c r="I83" s="89"/>
      <c r="J83" s="89"/>
    </row>
    <row r="84" spans="6:10">
      <c r="F84" s="89"/>
      <c r="G84" s="89"/>
      <c r="H84" s="79"/>
      <c r="I84" s="89"/>
      <c r="J84" s="89"/>
    </row>
    <row r="85" spans="6:10">
      <c r="F85" s="89"/>
      <c r="G85" s="89"/>
      <c r="H85" s="79"/>
      <c r="I85" s="89"/>
      <c r="J85" s="89"/>
    </row>
    <row r="86" spans="6:10">
      <c r="F86" s="89"/>
      <c r="G86" s="89"/>
      <c r="H86" s="79"/>
      <c r="I86" s="89"/>
      <c r="J86" s="89"/>
    </row>
    <row r="87" spans="6:10">
      <c r="F87" s="89"/>
      <c r="G87" s="89"/>
      <c r="H87" s="79"/>
      <c r="I87" s="89"/>
      <c r="J87" s="89"/>
    </row>
    <row r="88" spans="6:10">
      <c r="F88" s="89"/>
      <c r="G88" s="89"/>
      <c r="H88" s="79"/>
      <c r="I88" s="89"/>
      <c r="J88" s="89"/>
    </row>
    <row r="89" spans="6:10">
      <c r="F89" s="89"/>
      <c r="G89" s="89"/>
      <c r="H89" s="79"/>
      <c r="I89" s="89"/>
      <c r="J89" s="89"/>
    </row>
    <row r="90" spans="6:10">
      <c r="F90" s="89"/>
      <c r="G90" s="89"/>
      <c r="H90" s="79"/>
      <c r="I90" s="89"/>
      <c r="J90" s="89"/>
    </row>
    <row r="91" spans="6:10">
      <c r="F91" s="89"/>
      <c r="G91" s="89"/>
      <c r="H91" s="79"/>
      <c r="I91" s="89"/>
      <c r="J91" s="89"/>
    </row>
    <row r="92" spans="6:10">
      <c r="F92" s="89"/>
      <c r="G92" s="89"/>
      <c r="H92" s="79"/>
      <c r="I92" s="89"/>
      <c r="J92" s="89"/>
    </row>
    <row r="93" spans="6:10">
      <c r="F93" s="89"/>
      <c r="G93" s="89"/>
      <c r="H93" s="79"/>
      <c r="I93" s="89"/>
      <c r="J93" s="89"/>
    </row>
    <row r="94" spans="6:10">
      <c r="F94" s="89"/>
      <c r="G94" s="89"/>
      <c r="H94" s="79"/>
      <c r="I94" s="89"/>
      <c r="J94" s="89"/>
    </row>
    <row r="95" spans="6:10">
      <c r="F95" s="89"/>
      <c r="G95" s="89"/>
      <c r="H95" s="79"/>
      <c r="I95" s="89"/>
      <c r="J95" s="89"/>
    </row>
    <row r="96" spans="6:10">
      <c r="F96" s="89"/>
      <c r="G96" s="89"/>
      <c r="H96" s="79"/>
      <c r="I96" s="89"/>
      <c r="J96" s="89"/>
    </row>
    <row r="97" spans="6:10">
      <c r="F97" s="89"/>
      <c r="G97" s="89"/>
      <c r="H97" s="79"/>
      <c r="I97" s="89"/>
      <c r="J97" s="89"/>
    </row>
    <row r="98" spans="6:10">
      <c r="F98" s="89"/>
      <c r="G98" s="89"/>
      <c r="H98" s="79"/>
      <c r="I98" s="89"/>
      <c r="J98" s="89"/>
    </row>
  </sheetData>
  <mergeCells count="61">
    <mergeCell ref="C34:E34"/>
    <mergeCell ref="I34:J34"/>
    <mergeCell ref="A35:E35"/>
    <mergeCell ref="I35:J35"/>
    <mergeCell ref="C31:E31"/>
    <mergeCell ref="I31:J31"/>
    <mergeCell ref="C32:E32"/>
    <mergeCell ref="I32:J32"/>
    <mergeCell ref="C33:E33"/>
    <mergeCell ref="I33:J33"/>
    <mergeCell ref="C28:E28"/>
    <mergeCell ref="I28:J28"/>
    <mergeCell ref="C29:E29"/>
    <mergeCell ref="I29:J29"/>
    <mergeCell ref="C30:E30"/>
    <mergeCell ref="I30:J30"/>
    <mergeCell ref="C25:E25"/>
    <mergeCell ref="I25:J25"/>
    <mergeCell ref="C26:E26"/>
    <mergeCell ref="I26:J26"/>
    <mergeCell ref="C27:E27"/>
    <mergeCell ref="I27:J27"/>
    <mergeCell ref="C22:E22"/>
    <mergeCell ref="I22:J22"/>
    <mergeCell ref="C23:E23"/>
    <mergeCell ref="I23:J23"/>
    <mergeCell ref="C24:E24"/>
    <mergeCell ref="I24:J24"/>
    <mergeCell ref="C19:E19"/>
    <mergeCell ref="I19:J19"/>
    <mergeCell ref="C20:E20"/>
    <mergeCell ref="I20:J20"/>
    <mergeCell ref="C21:E21"/>
    <mergeCell ref="I21:J21"/>
    <mergeCell ref="C16:E16"/>
    <mergeCell ref="I16:J16"/>
    <mergeCell ref="C17:E17"/>
    <mergeCell ref="I17:J17"/>
    <mergeCell ref="C18:E18"/>
    <mergeCell ref="I18:J18"/>
    <mergeCell ref="C13:E13"/>
    <mergeCell ref="I13:J13"/>
    <mergeCell ref="C14:E14"/>
    <mergeCell ref="I14:J14"/>
    <mergeCell ref="C15:E15"/>
    <mergeCell ref="I15:J15"/>
    <mergeCell ref="C10:E10"/>
    <mergeCell ref="I10:J10"/>
    <mergeCell ref="C11:E11"/>
    <mergeCell ref="I11:J11"/>
    <mergeCell ref="C12:E12"/>
    <mergeCell ref="I12:J12"/>
    <mergeCell ref="A7:D8"/>
    <mergeCell ref="E7:F8"/>
    <mergeCell ref="H7:H8"/>
    <mergeCell ref="I7:J8"/>
    <mergeCell ref="E1:F1"/>
    <mergeCell ref="H1:J1"/>
    <mergeCell ref="B3:E3"/>
    <mergeCell ref="H3:J3"/>
    <mergeCell ref="A5:E5"/>
  </mergeCells>
  <phoneticPr fontId="1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3E7C1-AEED-4BC4-9D78-372881CADF58}">
  <sheetPr codeName="Sheet11">
    <tabColor rgb="FF00B050"/>
  </sheetPr>
  <dimension ref="A1:J98"/>
  <sheetViews>
    <sheetView workbookViewId="0">
      <selection activeCell="B3" sqref="B3:E3"/>
    </sheetView>
  </sheetViews>
  <sheetFormatPr defaultColWidth="9" defaultRowHeight="13.5"/>
  <cols>
    <col min="1" max="1" width="3.375" style="65" customWidth="1"/>
    <col min="2" max="2" width="3.875" style="65" customWidth="1"/>
    <col min="3" max="3" width="5.25" style="65" customWidth="1"/>
    <col min="4" max="4" width="7.875" style="65" customWidth="1"/>
    <col min="5" max="5" width="19" style="65" customWidth="1"/>
    <col min="6" max="6" width="7.25" style="65" customWidth="1"/>
    <col min="7" max="7" width="6" style="65" customWidth="1"/>
    <col min="8" max="8" width="11.875" style="66" customWidth="1"/>
    <col min="9" max="9" width="10" style="65" customWidth="1"/>
    <col min="10" max="10" width="2.875" style="65" customWidth="1"/>
    <col min="11" max="16384" width="9" style="65"/>
  </cols>
  <sheetData>
    <row r="1" spans="1:10" ht="18" customHeight="1">
      <c r="A1" s="64" t="s">
        <v>73</v>
      </c>
      <c r="B1" s="64"/>
      <c r="E1" s="446" t="s">
        <v>74</v>
      </c>
      <c r="F1" s="446"/>
      <c r="H1" s="447">
        <f ca="1">TODAY()</f>
        <v>44237</v>
      </c>
      <c r="I1" s="447"/>
      <c r="J1" s="447"/>
    </row>
    <row r="2" spans="1:10" ht="9.9499999999999993" customHeight="1">
      <c r="J2" s="67"/>
    </row>
    <row r="3" spans="1:10" ht="30" customHeight="1">
      <c r="A3" s="68"/>
      <c r="B3" s="448"/>
      <c r="C3" s="448"/>
      <c r="D3" s="448"/>
      <c r="E3" s="448"/>
      <c r="F3" s="64" t="s">
        <v>75</v>
      </c>
      <c r="H3" s="449" t="s">
        <v>76</v>
      </c>
      <c r="I3" s="449"/>
      <c r="J3" s="449"/>
    </row>
    <row r="4" spans="1:10" ht="9.75" customHeight="1">
      <c r="A4" s="69"/>
      <c r="B4" s="69"/>
      <c r="C4" s="69"/>
      <c r="D4" s="69"/>
      <c r="E4" s="69"/>
      <c r="H4" s="70"/>
      <c r="I4" s="71"/>
      <c r="J4" s="71"/>
    </row>
    <row r="5" spans="1:10" ht="24.75" customHeight="1">
      <c r="A5" s="450" t="s">
        <v>77</v>
      </c>
      <c r="B5" s="450"/>
      <c r="C5" s="450"/>
      <c r="D5" s="450"/>
      <c r="E5" s="450"/>
      <c r="H5" s="70"/>
      <c r="I5" s="71"/>
      <c r="J5" s="71" t="s">
        <v>94</v>
      </c>
    </row>
    <row r="6" spans="1:10" ht="5.0999999999999996" customHeight="1"/>
    <row r="7" spans="1:10" ht="16.5" customHeight="1">
      <c r="A7" s="434" t="s">
        <v>78</v>
      </c>
      <c r="B7" s="434"/>
      <c r="C7" s="434"/>
      <c r="D7" s="434"/>
      <c r="E7" s="436">
        <f>I35*1.1</f>
        <v>0</v>
      </c>
      <c r="F7" s="437"/>
      <c r="G7" s="72" t="s">
        <v>79</v>
      </c>
      <c r="H7" s="440" t="s">
        <v>80</v>
      </c>
      <c r="I7" s="442">
        <f>I35*0.1</f>
        <v>0</v>
      </c>
      <c r="J7" s="443"/>
    </row>
    <row r="8" spans="1:10" ht="14.25" customHeight="1">
      <c r="A8" s="435"/>
      <c r="B8" s="434"/>
      <c r="C8" s="434"/>
      <c r="D8" s="434"/>
      <c r="E8" s="438"/>
      <c r="F8" s="439"/>
      <c r="G8" s="73">
        <v>0.1</v>
      </c>
      <c r="H8" s="441"/>
      <c r="I8" s="444"/>
      <c r="J8" s="445"/>
    </row>
    <row r="9" spans="1:10" ht="14.25" customHeight="1">
      <c r="A9" s="74"/>
      <c r="B9" s="75"/>
      <c r="C9" s="75"/>
      <c r="D9" s="75"/>
      <c r="E9" s="76"/>
      <c r="F9" s="77"/>
      <c r="G9" s="78"/>
      <c r="H9" s="79"/>
      <c r="I9" s="80"/>
      <c r="J9" s="81"/>
    </row>
    <row r="10" spans="1:10" ht="18" customHeight="1">
      <c r="A10" s="82" t="s">
        <v>81</v>
      </c>
      <c r="B10" s="83" t="s">
        <v>82</v>
      </c>
      <c r="C10" s="451" t="s">
        <v>83</v>
      </c>
      <c r="D10" s="452"/>
      <c r="E10" s="453"/>
      <c r="F10" s="83" t="s">
        <v>84</v>
      </c>
      <c r="G10" s="83" t="s">
        <v>85</v>
      </c>
      <c r="H10" s="84" t="s">
        <v>86</v>
      </c>
      <c r="I10" s="454" t="s">
        <v>87</v>
      </c>
      <c r="J10" s="454"/>
    </row>
    <row r="11" spans="1:10" ht="18" customHeight="1">
      <c r="A11" s="85"/>
      <c r="B11" s="85"/>
      <c r="C11" s="455"/>
      <c r="D11" s="456"/>
      <c r="E11" s="457"/>
      <c r="F11" s="86"/>
      <c r="G11" s="87"/>
      <c r="H11" s="88"/>
      <c r="I11" s="458">
        <f t="shared" ref="I11:I34" si="0">F11*H11</f>
        <v>0</v>
      </c>
      <c r="J11" s="459"/>
    </row>
    <row r="12" spans="1:10" ht="18" customHeight="1">
      <c r="A12" s="85"/>
      <c r="B12" s="85"/>
      <c r="C12" s="455"/>
      <c r="D12" s="456"/>
      <c r="E12" s="457"/>
      <c r="F12" s="86"/>
      <c r="G12" s="87"/>
      <c r="H12" s="88"/>
      <c r="I12" s="458">
        <f t="shared" si="0"/>
        <v>0</v>
      </c>
      <c r="J12" s="459"/>
    </row>
    <row r="13" spans="1:10" ht="18" customHeight="1">
      <c r="A13" s="85"/>
      <c r="B13" s="85"/>
      <c r="C13" s="455"/>
      <c r="D13" s="456"/>
      <c r="E13" s="457"/>
      <c r="F13" s="86"/>
      <c r="G13" s="87"/>
      <c r="H13" s="88"/>
      <c r="I13" s="458">
        <f>F13*H13</f>
        <v>0</v>
      </c>
      <c r="J13" s="459"/>
    </row>
    <row r="14" spans="1:10" ht="18" customHeight="1">
      <c r="A14" s="85"/>
      <c r="B14" s="85"/>
      <c r="C14" s="455"/>
      <c r="D14" s="456"/>
      <c r="E14" s="457"/>
      <c r="F14" s="86"/>
      <c r="G14" s="87"/>
      <c r="H14" s="88"/>
      <c r="I14" s="458">
        <f t="shared" si="0"/>
        <v>0</v>
      </c>
      <c r="J14" s="459"/>
    </row>
    <row r="15" spans="1:10" ht="18" customHeight="1">
      <c r="A15" s="85"/>
      <c r="B15" s="85"/>
      <c r="C15" s="455"/>
      <c r="D15" s="456"/>
      <c r="E15" s="457"/>
      <c r="F15" s="86"/>
      <c r="G15" s="87"/>
      <c r="H15" s="88"/>
      <c r="I15" s="458">
        <f t="shared" si="0"/>
        <v>0</v>
      </c>
      <c r="J15" s="459"/>
    </row>
    <row r="16" spans="1:10" ht="18" customHeight="1">
      <c r="A16" s="85"/>
      <c r="B16" s="85"/>
      <c r="C16" s="455"/>
      <c r="D16" s="456"/>
      <c r="E16" s="457"/>
      <c r="F16" s="86"/>
      <c r="G16" s="87"/>
      <c r="H16" s="88"/>
      <c r="I16" s="458">
        <f t="shared" si="0"/>
        <v>0</v>
      </c>
      <c r="J16" s="459"/>
    </row>
    <row r="17" spans="1:10" ht="18" customHeight="1">
      <c r="A17" s="85"/>
      <c r="B17" s="85"/>
      <c r="C17" s="455"/>
      <c r="D17" s="456"/>
      <c r="E17" s="457"/>
      <c r="F17" s="86"/>
      <c r="G17" s="87"/>
      <c r="H17" s="88"/>
      <c r="I17" s="458">
        <f t="shared" si="0"/>
        <v>0</v>
      </c>
      <c r="J17" s="459"/>
    </row>
    <row r="18" spans="1:10" ht="18" customHeight="1">
      <c r="A18" s="85"/>
      <c r="B18" s="85"/>
      <c r="C18" s="455"/>
      <c r="D18" s="456"/>
      <c r="E18" s="457"/>
      <c r="F18" s="86"/>
      <c r="G18" s="87"/>
      <c r="H18" s="88"/>
      <c r="I18" s="458">
        <f>F18*H18</f>
        <v>0</v>
      </c>
      <c r="J18" s="459"/>
    </row>
    <row r="19" spans="1:10" ht="18" customHeight="1">
      <c r="A19" s="85"/>
      <c r="B19" s="85"/>
      <c r="C19" s="455"/>
      <c r="D19" s="456"/>
      <c r="E19" s="457"/>
      <c r="F19" s="86"/>
      <c r="G19" s="87"/>
      <c r="H19" s="88"/>
      <c r="I19" s="458">
        <f t="shared" si="0"/>
        <v>0</v>
      </c>
      <c r="J19" s="459"/>
    </row>
    <row r="20" spans="1:10" ht="18" customHeight="1">
      <c r="A20" s="85"/>
      <c r="B20" s="85"/>
      <c r="C20" s="455"/>
      <c r="D20" s="456"/>
      <c r="E20" s="457"/>
      <c r="F20" s="86"/>
      <c r="G20" s="87"/>
      <c r="H20" s="88"/>
      <c r="I20" s="458">
        <f t="shared" si="0"/>
        <v>0</v>
      </c>
      <c r="J20" s="459"/>
    </row>
    <row r="21" spans="1:10" ht="18" customHeight="1">
      <c r="A21" s="85"/>
      <c r="B21" s="85"/>
      <c r="C21" s="455"/>
      <c r="D21" s="456"/>
      <c r="E21" s="457"/>
      <c r="F21" s="86"/>
      <c r="G21" s="87"/>
      <c r="H21" s="88"/>
      <c r="I21" s="458">
        <f t="shared" si="0"/>
        <v>0</v>
      </c>
      <c r="J21" s="459"/>
    </row>
    <row r="22" spans="1:10" ht="18" customHeight="1">
      <c r="A22" s="85"/>
      <c r="B22" s="85"/>
      <c r="C22" s="455"/>
      <c r="D22" s="456"/>
      <c r="E22" s="457"/>
      <c r="F22" s="86"/>
      <c r="G22" s="87"/>
      <c r="H22" s="88"/>
      <c r="I22" s="458">
        <f t="shared" si="0"/>
        <v>0</v>
      </c>
      <c r="J22" s="459"/>
    </row>
    <row r="23" spans="1:10" ht="18" customHeight="1">
      <c r="A23" s="85"/>
      <c r="B23" s="85"/>
      <c r="C23" s="455"/>
      <c r="D23" s="456"/>
      <c r="E23" s="457"/>
      <c r="F23" s="86"/>
      <c r="G23" s="87"/>
      <c r="H23" s="88"/>
      <c r="I23" s="458">
        <f>F23*H23</f>
        <v>0</v>
      </c>
      <c r="J23" s="459"/>
    </row>
    <row r="24" spans="1:10" ht="18" customHeight="1">
      <c r="A24" s="85"/>
      <c r="B24" s="85"/>
      <c r="C24" s="455"/>
      <c r="D24" s="456"/>
      <c r="E24" s="457"/>
      <c r="F24" s="86"/>
      <c r="G24" s="87"/>
      <c r="H24" s="88"/>
      <c r="I24" s="458">
        <f t="shared" ref="I24" si="1">F24*H24</f>
        <v>0</v>
      </c>
      <c r="J24" s="459"/>
    </row>
    <row r="25" spans="1:10" ht="18" customHeight="1">
      <c r="A25" s="85"/>
      <c r="B25" s="85"/>
      <c r="C25" s="460"/>
      <c r="D25" s="461"/>
      <c r="E25" s="462"/>
      <c r="F25" s="86"/>
      <c r="G25" s="87"/>
      <c r="H25" s="88"/>
      <c r="I25" s="458">
        <f t="shared" si="0"/>
        <v>0</v>
      </c>
      <c r="J25" s="459"/>
    </row>
    <row r="26" spans="1:10" ht="18" customHeight="1">
      <c r="A26" s="85"/>
      <c r="B26" s="85"/>
      <c r="C26" s="455"/>
      <c r="D26" s="456"/>
      <c r="E26" s="457"/>
      <c r="F26" s="86"/>
      <c r="G26" s="87"/>
      <c r="H26" s="88"/>
      <c r="I26" s="458">
        <f t="shared" si="0"/>
        <v>0</v>
      </c>
      <c r="J26" s="459"/>
    </row>
    <row r="27" spans="1:10" ht="18" customHeight="1">
      <c r="A27" s="85"/>
      <c r="B27" s="85"/>
      <c r="C27" s="460"/>
      <c r="D27" s="461"/>
      <c r="E27" s="462"/>
      <c r="F27" s="86"/>
      <c r="G27" s="87"/>
      <c r="H27" s="88"/>
      <c r="I27" s="458">
        <f t="shared" si="0"/>
        <v>0</v>
      </c>
      <c r="J27" s="459"/>
    </row>
    <row r="28" spans="1:10" ht="18" customHeight="1">
      <c r="A28" s="85"/>
      <c r="B28" s="85"/>
      <c r="C28" s="460"/>
      <c r="D28" s="461"/>
      <c r="E28" s="462"/>
      <c r="F28" s="86"/>
      <c r="G28" s="87"/>
      <c r="H28" s="88"/>
      <c r="I28" s="458">
        <f t="shared" si="0"/>
        <v>0</v>
      </c>
      <c r="J28" s="459"/>
    </row>
    <row r="29" spans="1:10" ht="18" customHeight="1">
      <c r="A29" s="85"/>
      <c r="B29" s="85"/>
      <c r="C29" s="460"/>
      <c r="D29" s="461"/>
      <c r="E29" s="462"/>
      <c r="F29" s="86"/>
      <c r="G29" s="87"/>
      <c r="H29" s="88"/>
      <c r="I29" s="458">
        <f t="shared" si="0"/>
        <v>0</v>
      </c>
      <c r="J29" s="459"/>
    </row>
    <row r="30" spans="1:10" ht="18" customHeight="1">
      <c r="A30" s="85"/>
      <c r="B30" s="85"/>
      <c r="C30" s="460"/>
      <c r="D30" s="461"/>
      <c r="E30" s="462"/>
      <c r="F30" s="86"/>
      <c r="G30" s="87"/>
      <c r="H30" s="88"/>
      <c r="I30" s="458">
        <f t="shared" si="0"/>
        <v>0</v>
      </c>
      <c r="J30" s="459"/>
    </row>
    <row r="31" spans="1:10" ht="18" customHeight="1">
      <c r="A31" s="85"/>
      <c r="B31" s="85"/>
      <c r="C31" s="455"/>
      <c r="D31" s="456"/>
      <c r="E31" s="457"/>
      <c r="F31" s="86"/>
      <c r="G31" s="87"/>
      <c r="H31" s="88"/>
      <c r="I31" s="458">
        <f t="shared" si="0"/>
        <v>0</v>
      </c>
      <c r="J31" s="459"/>
    </row>
    <row r="32" spans="1:10" ht="18" customHeight="1">
      <c r="A32" s="85"/>
      <c r="B32" s="85"/>
      <c r="C32" s="467"/>
      <c r="D32" s="468"/>
      <c r="E32" s="469"/>
      <c r="F32" s="86"/>
      <c r="G32" s="87"/>
      <c r="H32" s="88"/>
      <c r="I32" s="458">
        <f t="shared" si="0"/>
        <v>0</v>
      </c>
      <c r="J32" s="459"/>
    </row>
    <row r="33" spans="1:10" ht="18" customHeight="1">
      <c r="A33" s="85"/>
      <c r="B33" s="85"/>
      <c r="C33" s="467"/>
      <c r="D33" s="468"/>
      <c r="E33" s="469"/>
      <c r="F33" s="86"/>
      <c r="G33" s="87"/>
      <c r="H33" s="88"/>
      <c r="I33" s="458">
        <f t="shared" si="0"/>
        <v>0</v>
      </c>
      <c r="J33" s="459"/>
    </row>
    <row r="34" spans="1:10" ht="18" customHeight="1">
      <c r="A34" s="85"/>
      <c r="B34" s="85"/>
      <c r="C34" s="460"/>
      <c r="D34" s="461"/>
      <c r="E34" s="462"/>
      <c r="F34" s="86"/>
      <c r="G34" s="87"/>
      <c r="H34" s="88"/>
      <c r="I34" s="458">
        <f t="shared" si="0"/>
        <v>0</v>
      </c>
      <c r="J34" s="459"/>
    </row>
    <row r="35" spans="1:10" ht="18" customHeight="1">
      <c r="A35" s="463" t="s">
        <v>88</v>
      </c>
      <c r="B35" s="464"/>
      <c r="C35" s="464"/>
      <c r="D35" s="464"/>
      <c r="E35" s="465"/>
      <c r="F35" s="86"/>
      <c r="G35" s="87"/>
      <c r="H35" s="88"/>
      <c r="I35" s="466">
        <f>SUM(I11:J34)</f>
        <v>0</v>
      </c>
      <c r="J35" s="466"/>
    </row>
    <row r="36" spans="1:10" ht="18" customHeight="1">
      <c r="F36" s="89"/>
      <c r="G36" s="89"/>
      <c r="H36" s="79"/>
      <c r="I36" s="89"/>
      <c r="J36" s="89"/>
    </row>
    <row r="37" spans="1:10" ht="18" customHeight="1">
      <c r="F37" s="89"/>
      <c r="G37" s="89"/>
      <c r="H37" s="79"/>
      <c r="I37" s="89"/>
      <c r="J37" s="89"/>
    </row>
    <row r="38" spans="1:10" ht="18" customHeight="1">
      <c r="F38" s="89"/>
      <c r="G38" s="89"/>
      <c r="H38" s="79"/>
      <c r="I38" s="89"/>
      <c r="J38" s="89"/>
    </row>
    <row r="39" spans="1:10" ht="18" customHeight="1">
      <c r="F39" s="89"/>
      <c r="G39" s="89"/>
      <c r="H39" s="79"/>
      <c r="I39" s="89"/>
      <c r="J39" s="89"/>
    </row>
    <row r="40" spans="1:10" ht="18" customHeight="1">
      <c r="F40" s="89"/>
      <c r="G40" s="89"/>
      <c r="H40" s="79"/>
      <c r="I40" s="89"/>
      <c r="J40" s="89"/>
    </row>
    <row r="41" spans="1:10" ht="18" customHeight="1">
      <c r="F41" s="89"/>
      <c r="G41" s="89"/>
      <c r="H41" s="79"/>
      <c r="I41" s="89"/>
      <c r="J41" s="89"/>
    </row>
    <row r="42" spans="1:10" ht="18" customHeight="1">
      <c r="F42" s="89"/>
      <c r="G42" s="89"/>
      <c r="H42" s="79"/>
      <c r="I42" s="89"/>
      <c r="J42" s="89"/>
    </row>
    <row r="43" spans="1:10" ht="18" customHeight="1">
      <c r="F43" s="89"/>
      <c r="G43" s="89"/>
      <c r="H43" s="79"/>
      <c r="I43" s="89"/>
      <c r="J43" s="89"/>
    </row>
    <row r="44" spans="1:10" ht="18" customHeight="1">
      <c r="F44" s="89"/>
      <c r="G44" s="89"/>
      <c r="H44" s="79"/>
      <c r="I44" s="89"/>
      <c r="J44" s="89"/>
    </row>
    <row r="45" spans="1:10" ht="18" customHeight="1">
      <c r="F45" s="89"/>
      <c r="G45" s="89"/>
      <c r="H45" s="79"/>
      <c r="I45" s="89"/>
      <c r="J45" s="89"/>
    </row>
    <row r="46" spans="1:10" ht="18" customHeight="1">
      <c r="F46" s="89"/>
      <c r="G46" s="89"/>
      <c r="H46" s="79"/>
      <c r="I46" s="89"/>
      <c r="J46" s="89"/>
    </row>
    <row r="47" spans="1:10">
      <c r="F47" s="89"/>
      <c r="G47" s="89"/>
      <c r="H47" s="79"/>
      <c r="I47" s="89"/>
      <c r="J47" s="89"/>
    </row>
    <row r="48" spans="1:10">
      <c r="F48" s="89"/>
      <c r="G48" s="89"/>
      <c r="H48" s="79"/>
      <c r="I48" s="89"/>
      <c r="J48" s="89"/>
    </row>
    <row r="49" spans="6:10">
      <c r="F49" s="89"/>
      <c r="G49" s="89"/>
      <c r="H49" s="79"/>
      <c r="I49" s="89"/>
      <c r="J49" s="89"/>
    </row>
    <row r="50" spans="6:10">
      <c r="F50" s="89"/>
      <c r="G50" s="89"/>
      <c r="H50" s="79"/>
      <c r="I50" s="89"/>
      <c r="J50" s="89"/>
    </row>
    <row r="51" spans="6:10">
      <c r="F51" s="89"/>
      <c r="G51" s="89"/>
      <c r="H51" s="79"/>
      <c r="I51" s="89"/>
      <c r="J51" s="89"/>
    </row>
    <row r="52" spans="6:10">
      <c r="F52" s="89"/>
      <c r="G52" s="89"/>
      <c r="H52" s="79"/>
      <c r="I52" s="89"/>
      <c r="J52" s="89"/>
    </row>
    <row r="53" spans="6:10">
      <c r="F53" s="89"/>
      <c r="G53" s="89"/>
      <c r="H53" s="79"/>
      <c r="I53" s="89"/>
      <c r="J53" s="89"/>
    </row>
    <row r="54" spans="6:10">
      <c r="F54" s="89"/>
      <c r="G54" s="89"/>
      <c r="H54" s="79"/>
      <c r="I54" s="89"/>
      <c r="J54" s="89"/>
    </row>
    <row r="55" spans="6:10">
      <c r="F55" s="89"/>
      <c r="G55" s="89"/>
      <c r="H55" s="79"/>
      <c r="I55" s="89"/>
      <c r="J55" s="89"/>
    </row>
    <row r="56" spans="6:10">
      <c r="F56" s="89"/>
      <c r="G56" s="89"/>
      <c r="H56" s="79"/>
      <c r="I56" s="89"/>
      <c r="J56" s="89"/>
    </row>
    <row r="57" spans="6:10">
      <c r="F57" s="89"/>
      <c r="G57" s="89"/>
      <c r="H57" s="79"/>
      <c r="I57" s="89"/>
      <c r="J57" s="89"/>
    </row>
    <row r="58" spans="6:10">
      <c r="F58" s="89"/>
      <c r="G58" s="89"/>
      <c r="H58" s="79"/>
      <c r="I58" s="89"/>
      <c r="J58" s="89"/>
    </row>
    <row r="59" spans="6:10">
      <c r="F59" s="89"/>
      <c r="G59" s="89"/>
      <c r="H59" s="79"/>
      <c r="I59" s="89"/>
      <c r="J59" s="89"/>
    </row>
    <row r="60" spans="6:10">
      <c r="F60" s="89"/>
      <c r="G60" s="89"/>
      <c r="H60" s="79"/>
      <c r="I60" s="89"/>
      <c r="J60" s="89"/>
    </row>
    <row r="61" spans="6:10">
      <c r="F61" s="89"/>
      <c r="G61" s="89"/>
      <c r="H61" s="79"/>
      <c r="I61" s="89"/>
      <c r="J61" s="89"/>
    </row>
    <row r="62" spans="6:10">
      <c r="F62" s="89"/>
      <c r="G62" s="89"/>
      <c r="H62" s="79"/>
      <c r="I62" s="89"/>
      <c r="J62" s="89"/>
    </row>
    <row r="63" spans="6:10">
      <c r="F63" s="89"/>
      <c r="G63" s="89"/>
      <c r="H63" s="79"/>
      <c r="I63" s="89"/>
      <c r="J63" s="89"/>
    </row>
    <row r="64" spans="6:10">
      <c r="F64" s="89"/>
      <c r="G64" s="89"/>
      <c r="H64" s="79"/>
      <c r="I64" s="89"/>
      <c r="J64" s="89"/>
    </row>
    <row r="65" spans="6:10">
      <c r="F65" s="89"/>
      <c r="G65" s="89"/>
      <c r="H65" s="79"/>
      <c r="I65" s="89"/>
      <c r="J65" s="89"/>
    </row>
    <row r="66" spans="6:10">
      <c r="F66" s="89"/>
      <c r="G66" s="89"/>
      <c r="H66" s="79"/>
      <c r="I66" s="89"/>
      <c r="J66" s="89"/>
    </row>
    <row r="67" spans="6:10">
      <c r="F67" s="89"/>
      <c r="G67" s="89"/>
      <c r="H67" s="79"/>
      <c r="I67" s="89"/>
      <c r="J67" s="89"/>
    </row>
    <row r="68" spans="6:10">
      <c r="F68" s="89"/>
      <c r="G68" s="89"/>
      <c r="H68" s="79"/>
      <c r="I68" s="89"/>
      <c r="J68" s="89"/>
    </row>
    <row r="69" spans="6:10">
      <c r="F69" s="89"/>
      <c r="G69" s="89"/>
      <c r="H69" s="79"/>
      <c r="I69" s="89"/>
      <c r="J69" s="89"/>
    </row>
    <row r="70" spans="6:10">
      <c r="F70" s="89"/>
      <c r="G70" s="89"/>
      <c r="H70" s="79"/>
      <c r="I70" s="89"/>
      <c r="J70" s="89"/>
    </row>
    <row r="71" spans="6:10">
      <c r="F71" s="89"/>
      <c r="G71" s="89"/>
      <c r="H71" s="79"/>
      <c r="I71" s="89"/>
      <c r="J71" s="89"/>
    </row>
    <row r="72" spans="6:10">
      <c r="F72" s="89"/>
      <c r="G72" s="89"/>
      <c r="H72" s="79"/>
      <c r="I72" s="89"/>
      <c r="J72" s="89"/>
    </row>
    <row r="73" spans="6:10">
      <c r="F73" s="89"/>
      <c r="G73" s="89"/>
      <c r="H73" s="79"/>
      <c r="I73" s="89"/>
      <c r="J73" s="89"/>
    </row>
    <row r="74" spans="6:10">
      <c r="F74" s="89"/>
      <c r="G74" s="89"/>
      <c r="H74" s="79"/>
      <c r="I74" s="89"/>
      <c r="J74" s="89"/>
    </row>
    <row r="75" spans="6:10">
      <c r="F75" s="89"/>
      <c r="G75" s="89"/>
      <c r="H75" s="79"/>
      <c r="I75" s="89"/>
      <c r="J75" s="89"/>
    </row>
    <row r="76" spans="6:10">
      <c r="F76" s="89"/>
      <c r="G76" s="89"/>
      <c r="H76" s="79"/>
      <c r="I76" s="89"/>
      <c r="J76" s="89"/>
    </row>
    <row r="77" spans="6:10">
      <c r="F77" s="89"/>
      <c r="G77" s="89"/>
      <c r="H77" s="79"/>
      <c r="I77" s="89"/>
      <c r="J77" s="89"/>
    </row>
    <row r="78" spans="6:10">
      <c r="F78" s="89"/>
      <c r="G78" s="89"/>
      <c r="H78" s="79"/>
      <c r="I78" s="89"/>
      <c r="J78" s="89"/>
    </row>
    <row r="79" spans="6:10">
      <c r="F79" s="89"/>
      <c r="G79" s="89"/>
      <c r="H79" s="79"/>
      <c r="I79" s="89"/>
      <c r="J79" s="89"/>
    </row>
    <row r="80" spans="6:10">
      <c r="F80" s="89"/>
      <c r="G80" s="89"/>
      <c r="H80" s="79"/>
      <c r="I80" s="89"/>
      <c r="J80" s="89"/>
    </row>
    <row r="81" spans="6:10">
      <c r="F81" s="89"/>
      <c r="G81" s="89"/>
      <c r="H81" s="79"/>
      <c r="I81" s="89"/>
      <c r="J81" s="89"/>
    </row>
    <row r="82" spans="6:10">
      <c r="F82" s="89"/>
      <c r="G82" s="89"/>
      <c r="H82" s="79"/>
      <c r="I82" s="89"/>
      <c r="J82" s="89"/>
    </row>
    <row r="83" spans="6:10">
      <c r="F83" s="89"/>
      <c r="G83" s="89"/>
      <c r="H83" s="79"/>
      <c r="I83" s="89"/>
      <c r="J83" s="89"/>
    </row>
    <row r="84" spans="6:10">
      <c r="F84" s="89"/>
      <c r="G84" s="89"/>
      <c r="H84" s="79"/>
      <c r="I84" s="89"/>
      <c r="J84" s="89"/>
    </row>
    <row r="85" spans="6:10">
      <c r="F85" s="89"/>
      <c r="G85" s="89"/>
      <c r="H85" s="79"/>
      <c r="I85" s="89"/>
      <c r="J85" s="89"/>
    </row>
    <row r="86" spans="6:10">
      <c r="F86" s="89"/>
      <c r="G86" s="89"/>
      <c r="H86" s="79"/>
      <c r="I86" s="89"/>
      <c r="J86" s="89"/>
    </row>
    <row r="87" spans="6:10">
      <c r="F87" s="89"/>
      <c r="G87" s="89"/>
      <c r="H87" s="79"/>
      <c r="I87" s="89"/>
      <c r="J87" s="89"/>
    </row>
    <row r="88" spans="6:10">
      <c r="F88" s="89"/>
      <c r="G88" s="89"/>
      <c r="H88" s="79"/>
      <c r="I88" s="89"/>
      <c r="J88" s="89"/>
    </row>
    <row r="89" spans="6:10">
      <c r="F89" s="89"/>
      <c r="G89" s="89"/>
      <c r="H89" s="79"/>
      <c r="I89" s="89"/>
      <c r="J89" s="89"/>
    </row>
    <row r="90" spans="6:10">
      <c r="F90" s="89"/>
      <c r="G90" s="89"/>
      <c r="H90" s="79"/>
      <c r="I90" s="89"/>
      <c r="J90" s="89"/>
    </row>
    <row r="91" spans="6:10">
      <c r="F91" s="89"/>
      <c r="G91" s="89"/>
      <c r="H91" s="79"/>
      <c r="I91" s="89"/>
      <c r="J91" s="89"/>
    </row>
    <row r="92" spans="6:10">
      <c r="F92" s="89"/>
      <c r="G92" s="89"/>
      <c r="H92" s="79"/>
      <c r="I92" s="89"/>
      <c r="J92" s="89"/>
    </row>
    <row r="93" spans="6:10">
      <c r="F93" s="89"/>
      <c r="G93" s="89"/>
      <c r="H93" s="79"/>
      <c r="I93" s="89"/>
      <c r="J93" s="89"/>
    </row>
    <row r="94" spans="6:10">
      <c r="F94" s="89"/>
      <c r="G94" s="89"/>
      <c r="H94" s="79"/>
      <c r="I94" s="89"/>
      <c r="J94" s="89"/>
    </row>
    <row r="95" spans="6:10">
      <c r="F95" s="89"/>
      <c r="G95" s="89"/>
      <c r="H95" s="79"/>
      <c r="I95" s="89"/>
      <c r="J95" s="89"/>
    </row>
    <row r="96" spans="6:10">
      <c r="F96" s="89"/>
      <c r="G96" s="89"/>
      <c r="H96" s="79"/>
      <c r="I96" s="89"/>
      <c r="J96" s="89"/>
    </row>
    <row r="97" spans="6:10">
      <c r="F97" s="89"/>
      <c r="G97" s="89"/>
      <c r="H97" s="79"/>
      <c r="I97" s="89"/>
      <c r="J97" s="89"/>
    </row>
    <row r="98" spans="6:10">
      <c r="F98" s="89"/>
      <c r="G98" s="89"/>
      <c r="H98" s="79"/>
      <c r="I98" s="89"/>
      <c r="J98" s="89"/>
    </row>
  </sheetData>
  <mergeCells count="61">
    <mergeCell ref="C34:E34"/>
    <mergeCell ref="I34:J34"/>
    <mergeCell ref="A35:E35"/>
    <mergeCell ref="I35:J35"/>
    <mergeCell ref="C31:E31"/>
    <mergeCell ref="I31:J31"/>
    <mergeCell ref="C32:E32"/>
    <mergeCell ref="I32:J32"/>
    <mergeCell ref="C33:E33"/>
    <mergeCell ref="I33:J33"/>
    <mergeCell ref="C28:E28"/>
    <mergeCell ref="I28:J28"/>
    <mergeCell ref="C29:E29"/>
    <mergeCell ref="I29:J29"/>
    <mergeCell ref="C30:E30"/>
    <mergeCell ref="I30:J30"/>
    <mergeCell ref="C25:E25"/>
    <mergeCell ref="I25:J25"/>
    <mergeCell ref="C26:E26"/>
    <mergeCell ref="I26:J26"/>
    <mergeCell ref="C27:E27"/>
    <mergeCell ref="I27:J27"/>
    <mergeCell ref="C22:E22"/>
    <mergeCell ref="I22:J22"/>
    <mergeCell ref="C23:E23"/>
    <mergeCell ref="I23:J23"/>
    <mergeCell ref="C24:E24"/>
    <mergeCell ref="I24:J24"/>
    <mergeCell ref="C19:E19"/>
    <mergeCell ref="I19:J19"/>
    <mergeCell ref="C20:E20"/>
    <mergeCell ref="I20:J20"/>
    <mergeCell ref="C21:E21"/>
    <mergeCell ref="I21:J21"/>
    <mergeCell ref="C16:E16"/>
    <mergeCell ref="I16:J16"/>
    <mergeCell ref="C17:E17"/>
    <mergeCell ref="I17:J17"/>
    <mergeCell ref="C18:E18"/>
    <mergeCell ref="I18:J18"/>
    <mergeCell ref="C13:E13"/>
    <mergeCell ref="I13:J13"/>
    <mergeCell ref="C14:E14"/>
    <mergeCell ref="I14:J14"/>
    <mergeCell ref="C15:E15"/>
    <mergeCell ref="I15:J15"/>
    <mergeCell ref="C10:E10"/>
    <mergeCell ref="I10:J10"/>
    <mergeCell ref="C11:E11"/>
    <mergeCell ref="I11:J11"/>
    <mergeCell ref="C12:E12"/>
    <mergeCell ref="I12:J12"/>
    <mergeCell ref="A7:D8"/>
    <mergeCell ref="E7:F8"/>
    <mergeCell ref="H7:H8"/>
    <mergeCell ref="I7:J8"/>
    <mergeCell ref="E1:F1"/>
    <mergeCell ref="H1:J1"/>
    <mergeCell ref="B3:E3"/>
    <mergeCell ref="H3:J3"/>
    <mergeCell ref="A5:E5"/>
  </mergeCells>
  <phoneticPr fontId="1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印刷シート</vt:lpstr>
      <vt:lpstr>2枚用</vt:lpstr>
      <vt:lpstr>積算1</vt:lpstr>
      <vt:lpstr>積算2</vt:lpstr>
      <vt:lpstr>CB積算</vt:lpstr>
      <vt:lpstr>発注書1</vt:lpstr>
      <vt:lpstr>発注書2</vt:lpstr>
      <vt:lpstr>仕入れ管理</vt:lpstr>
      <vt:lpstr>仕切り1</vt:lpstr>
      <vt:lpstr>仕切り2</vt:lpstr>
      <vt:lpstr>印刷シート!Print_Area</vt:lpstr>
      <vt:lpstr>ベース仕切り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有住 遼</cp:lastModifiedBy>
  <cp:lastPrinted>2021-02-01T10:14:10Z</cp:lastPrinted>
  <dcterms:created xsi:type="dcterms:W3CDTF">2019-06-24T07:23:02Z</dcterms:created>
  <dcterms:modified xsi:type="dcterms:W3CDTF">2021-02-10T04:50:23Z</dcterms:modified>
</cp:coreProperties>
</file>